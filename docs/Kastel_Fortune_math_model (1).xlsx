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aytable" sheetId="3" state="visible" r:id="rId5"/>
    <sheet name="Reels_Base" sheetId="4" state="visible" r:id="rId6"/>
    <sheet name="Reels_FS" sheetId="5" state="visible" r:id="rId7"/>
    <sheet name="Lines_Base" sheetId="6" state="visible" r:id="rId8"/>
    <sheet name="Lines_FS" sheetId="7" state="visible" r:id="rId9"/>
    <sheet name="Scatters" sheetId="8" state="visible" r:id="rId10"/>
    <sheet name="FreeSpins" sheetId="9" state="visible" r:id="rId11"/>
    <sheet name="Scenario" sheetId="10" state="visible" r:id="rId12"/>
    <sheet name="Be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0" authorId="0">
      <text>
        <r>
          <rPr>
            <sz val="10"/>
            <rFont val="Arial"/>
            <family val="2"/>
          </rPr>
          <t xml:space="preserve">The free-spins grid on sheet FreeSpins is laid out for +5 spins per retrigger, max 4 retriggers, multiplier 1-&gt;5 in steps of 1. Changing these needs the grid regenerated (scripts/make_excel_model.py).</t>
        </r>
      </text>
    </comment>
    <comment ref="B5" authorId="0">
      <text>
        <r>
          <rPr>
            <sz val="10"/>
            <rFont val="Arial"/>
            <family val="2"/>
          </rPr>
          <t xml:space="preserve">Wild has no pays of its own: it only substitutes. Wilds sit on reels 2-4 and a line run must start on reel 1, so a pure-wild run can never occur.</t>
        </r>
      </text>
    </comment>
    <comment ref="B6" authorId="0">
      <text>
        <r>
          <rPr>
            <sz val="10"/>
            <rFont val="Arial"/>
            <family val="2"/>
          </rPr>
          <t xml:space="preserve">Scatter pays anywhere on the grid (see below) and triggers free spins; it never pays on a line.</t>
        </r>
      </text>
    </comment>
  </commentList>
</comments>
</file>

<file path=xl/sharedStrings.xml><?xml version="1.0" encoding="utf-8"?>
<sst xmlns="http://schemas.openxmlformats.org/spreadsheetml/2006/main" count="729" uniqueCount="201">
  <si>
    <t xml:space="preserve">Kastel Fortune — mathematical model (Excel edition)</t>
  </si>
  <si>
    <t xml:space="preserve">Original 5x3, 20-payline slot with free spins (multiplier ladder x1→x5, retriggers), max win 1,500x. Companion to the Python repository slot-math-portfolio.</t>
  </si>
  <si>
    <t xml:space="preserve">LEGEND:  blue text = hard-coded input you may edit  ·  black = formula  ·  green = link to another sheet  ·  grey fill = reference value computed in Python (full enumeration)  ·  yellow = key output.</t>
  </si>
  <si>
    <t xml:space="preserve">WHAT IS EXACT IN THIS WORKBOOK (pure formulas):</t>
  </si>
  <si>
    <t xml:space="preserve">  • Reel-strip counts and per-reel symbol probabilities (COUNTIF / COUNTA) — sheets Reels_Base, Reels_FS.</t>
  </si>
  <si>
    <t xml:space="preserve">  • Single-line expected value, closed form P(run&gt;=k) = p1(s)·Π(p_i(s)+p_i(W)) — exact because reel 1 carries no wild — sheets Lines_Base, Lines_FS.</t>
  </si>
  <si>
    <t xml:space="preserve">  • Scatter-count distribution (Poisson-binomial dynamic programme) — sheet Scatters.</t>
  </si>
  <si>
    <t xml:space="preserve">  • Free-spins expected payout: the absorbing Markov chain's mean recursion over states (spins left, multiplier, retriggers) — sheet FreeSpins.</t>
  </si>
  <si>
    <t xml:space="preserve">  • RTP = 20 × E[line] + scatter pays + Σ P(k scatters) × E[feature | k] — sheet Dashboard; the Python exact value is shown next to it with the difference (should be 0).</t>
  </si>
  <si>
    <t xml:space="preserve">WHAT NEEDS THE FULL ENUMERATION (Python, shown as grey reference values): hit frequency, variance / volatility, tail probabilities, max-win reachability, cap cost.</t>
  </si>
  <si>
    <t xml:space="preserve">Those depend on the joint law of 20 overlapping lines and are obtained by enumerating all 55,520,640 stop combinations (slotmath/exact.py).</t>
  </si>
  <si>
    <t xml:space="preserve">INPUTS TAKEN FROM PYTHON (sheet FreeSpins, blue): the four per-free-spin outcome-class probabilities and two class means, from the enumeration of the free-spin strips. Two cross-checks on that sheet recompute what can be recomputed here (retrigger probability, E[line win per free spin]) and must read OK.</t>
  </si>
  <si>
    <t xml:space="preserve">HOW TO USE:  edit a symbol in Reels_Base → every probability, the line EV and the RTP update.  Use sheet Scenario to try symbol-count changes without touching the strips.  Sheet Bets maps bet levels to exposure.</t>
  </si>
  <si>
    <t xml:space="preserve">ASSUMPTIONS:  reels stop uniformly and independently; lines pay left to right, best win per line; scatters pay anywhere and do not pay inside free spins; the multiplier climbs after a winning free spin and applies to the following spins; the max-win cap truncates the total win of a spin including its feature.</t>
  </si>
  <si>
    <t xml:space="preserve">Kastel Fortune — math model dashboard</t>
  </si>
  <si>
    <t xml:space="preserve">Green = linked from model sheets, black = formula, grey = reference values from the full enumeration in Python (not computable in Excel).</t>
  </si>
  <si>
    <t xml:space="preserve">RTP decomposition</t>
  </si>
  <si>
    <t xml:space="preserve">Excel (live)</t>
  </si>
  <si>
    <t xml:space="preserve">Python exact</t>
  </si>
  <si>
    <t xml:space="preserve">Difference</t>
  </si>
  <si>
    <t xml:space="preserve">Line RTP = paylines x E[one line]</t>
  </si>
  <si>
    <t xml:space="preserve">Scatter-pay RTP</t>
  </si>
  <si>
    <t xml:space="preserve">Free-spins RTP</t>
  </si>
  <si>
    <t xml:space="preserve">TOTAL RTP (uncapped)</t>
  </si>
  <si>
    <t xml:space="preserve">Max-win cap cost (needs the full distribution)</t>
  </si>
  <si>
    <t xml:space="preserve">RTP with cap (exact)</t>
  </si>
  <si>
    <t xml:space="preserve">Frequencies</t>
  </si>
  <si>
    <t xml:space="preserve">P(one line pays)</t>
  </si>
  <si>
    <t xml:space="preserve">Free-spins trigger probability</t>
  </si>
  <si>
    <t xml:space="preserve">  ... one feature every N spins</t>
  </si>
  <si>
    <t xml:space="preserve">E[feature payout | 3 scatters]  (x bet)</t>
  </si>
  <si>
    <t xml:space="preserve">E[feature payout | 4 scatters]  (x bet)</t>
  </si>
  <si>
    <t xml:space="preserve">E[feature payout | 5 scatters]  (x bet)</t>
  </si>
  <si>
    <t xml:space="preserve">Closed-form validity (no wild on reel 1)</t>
  </si>
  <si>
    <t xml:space="preserve">Needs the full grid enumeration (Python)</t>
  </si>
  <si>
    <t xml:space="preserve">Hit frequency (any win &gt; 0)</t>
  </si>
  <si>
    <t xml:space="preserve">Std dev of win per spin (x bet)</t>
  </si>
  <si>
    <t xml:space="preserve">Volatility index 1.96 x sigma</t>
  </si>
  <si>
    <t xml:space="preserve">E[feature | triggered] (x bet)</t>
  </si>
  <si>
    <t xml:space="preserve">Median feature payout (x bet)</t>
  </si>
  <si>
    <t xml:space="preserve">P(win &gt;= 100x)  1 in</t>
  </si>
  <si>
    <t xml:space="preserve">P(win &gt;= 1000x)  1 in</t>
  </si>
  <si>
    <t xml:space="preserve">P(max win 1,500x)  1 in</t>
  </si>
  <si>
    <t xml:space="preserve">Base-game stop combinations enumerated</t>
  </si>
  <si>
    <t xml:space="preserve">Free-spin stop combinations enumerated</t>
  </si>
  <si>
    <t xml:space="preserve">Monte-Carlo check: 100,000,000 spins (seed 2024): RTP 96.1923% +/- 0.1480 pp (95% CI), hit 34.815%, sigma 7.5503 — exact value inside the interval (z = -0.13).</t>
  </si>
  <si>
    <t xml:space="preserve">Kastel Fortune — paytable and game parameters</t>
  </si>
  <si>
    <t xml:space="preserve">Pays in multiples of the TOTAL bet. Blue = input. Line pays left to right from reel 1; wild substitutes for all but the scatter.</t>
  </si>
  <si>
    <t xml:space="preserve">Symbol</t>
  </si>
  <si>
    <t xml:space="preserve">Name</t>
  </si>
  <si>
    <t xml:space="preserve">3 of a kind</t>
  </si>
  <si>
    <t xml:space="preserve">4 of a kind</t>
  </si>
  <si>
    <t xml:space="preserve">5 of a kind</t>
  </si>
  <si>
    <t xml:space="preserve">W</t>
  </si>
  <si>
    <t xml:space="preserve">Wild (zlatni ključ)</t>
  </si>
  <si>
    <t xml:space="preserve">S</t>
  </si>
  <si>
    <t xml:space="preserve">Scatter (grb grada)</t>
  </si>
  <si>
    <t xml:space="preserve">H1</t>
  </si>
  <si>
    <t xml:space="preserve">Kastel (tvrđava)</t>
  </si>
  <si>
    <t xml:space="preserve">H2</t>
  </si>
  <si>
    <t xml:space="preserve">Vrbas</t>
  </si>
  <si>
    <t xml:space="preserve">H3</t>
  </si>
  <si>
    <t xml:space="preserve">Dajak čamac</t>
  </si>
  <si>
    <t xml:space="preserve">H4</t>
  </si>
  <si>
    <t xml:space="preserve">Lipa</t>
  </si>
  <si>
    <t xml:space="preserve">A</t>
  </si>
  <si>
    <t xml:space="preserve">K</t>
  </si>
  <si>
    <t xml:space="preserve">Q</t>
  </si>
  <si>
    <t xml:space="preserve">J</t>
  </si>
  <si>
    <t xml:space="preserve">Scatter pays (anywhere on the grid)</t>
  </si>
  <si>
    <t xml:space="preserve">Scatters</t>
  </si>
  <si>
    <t xml:space="preserve">Pay (x bet)</t>
  </si>
  <si>
    <t xml:space="preserve">Free spins awarded</t>
  </si>
  <si>
    <t xml:space="preserve">Game parameters</t>
  </si>
  <si>
    <t xml:space="preserve">Reels</t>
  </si>
  <si>
    <t xml:space="preserve">Rows</t>
  </si>
  <si>
    <t xml:space="preserve">Paylines</t>
  </si>
  <si>
    <t xml:space="preserve">Max win cap (x bet)</t>
  </si>
  <si>
    <t xml:space="preserve">Retrigger: scatters needed</t>
  </si>
  <si>
    <t xml:space="preserve">Retrigger: extra spins</t>
  </si>
  <si>
    <t xml:space="preserve">Max retriggers</t>
  </si>
  <si>
    <t xml:space="preserve">Multiplier start</t>
  </si>
  <si>
    <t xml:space="preserve">Multiplier step per winning spin</t>
  </si>
  <si>
    <t xml:space="preserve">Multiplier cap</t>
  </si>
  <si>
    <t xml:space="preserve">Kastel Fortune — base-game reel strips</t>
  </si>
  <si>
    <t xml:space="preserve">Strips top-to-bottom (wrapping). Blue cells are inputs: edit a symbol and every probability, the line EV and the RTP recalculate.</t>
  </si>
  <si>
    <t xml:space="preserve">Symbol counts per reel (COUNTIF)</t>
  </si>
  <si>
    <t xml:space="preserve">P(symbol on a given row of the reel) = count / length</t>
  </si>
  <si>
    <t xml:space="preserve">Pos</t>
  </si>
  <si>
    <t xml:space="preserve">Reel 1</t>
  </si>
  <si>
    <t xml:space="preserve">Reel 2</t>
  </si>
  <si>
    <t xml:space="preserve">Reel 3</t>
  </si>
  <si>
    <t xml:space="preserve">Reel 4</t>
  </si>
  <si>
    <t xml:space="preserve">Reel 5</t>
  </si>
  <si>
    <t xml:space="preserve">Strip length</t>
  </si>
  <si>
    <t xml:space="preserve">check: sums to 1</t>
  </si>
  <si>
    <t xml:space="preserve">Kastel Fortune — free-spins reel strips</t>
  </si>
  <si>
    <t xml:space="preserve">Kastel Fortune — single-line expected value, base game (exact, closed form)</t>
  </si>
  <si>
    <t xml:space="preserve">Base-game strips</t>
  </si>
  <si>
    <t xml:space="preserve">P(run &gt;= k) = p1(s) x prod_(i=2..k) [p_i(s) + p_i(W)] — exact because reel 1 carries no wild, so the paying symbol is always the reel-1 symbol. P(run = k) = P(run &gt;= k) - P(run &gt;= k+1).</t>
  </si>
  <si>
    <t xml:space="preserve">p1(s)</t>
  </si>
  <si>
    <t xml:space="preserve">p2(s)</t>
  </si>
  <si>
    <t xml:space="preserve">p3(s)</t>
  </si>
  <si>
    <t xml:space="preserve">p4(s)</t>
  </si>
  <si>
    <t xml:space="preserve">p5(s)</t>
  </si>
  <si>
    <t xml:space="preserve">p2(W)</t>
  </si>
  <si>
    <t xml:space="preserve">p3(W)</t>
  </si>
  <si>
    <t xml:space="preserve">p4(W)</t>
  </si>
  <si>
    <t xml:space="preserve">p5(W)</t>
  </si>
  <si>
    <t xml:space="preserve">P(run&gt;=1)</t>
  </si>
  <si>
    <t xml:space="preserve">P(run&gt;=2)</t>
  </si>
  <si>
    <t xml:space="preserve">P(run&gt;=3)</t>
  </si>
  <si>
    <t xml:space="preserve">P(run&gt;=4)</t>
  </si>
  <si>
    <t xml:space="preserve">P(run&gt;=5)</t>
  </si>
  <si>
    <t xml:space="preserve">P(run=3)</t>
  </si>
  <si>
    <t xml:space="preserve">P(run=4)</t>
  </si>
  <si>
    <t xml:space="preserve">P(run=5)</t>
  </si>
  <si>
    <t xml:space="preserve">pay 3</t>
  </si>
  <si>
    <t xml:space="preserve">pay 4</t>
  </si>
  <si>
    <t xml:space="preserve">pay 5</t>
  </si>
  <si>
    <t xml:space="preserve">E[win] x bet</t>
  </si>
  <si>
    <t xml:space="preserve">P(pays)</t>
  </si>
  <si>
    <t xml:space="preserve">TOTAL (one line)</t>
  </si>
  <si>
    <t xml:space="preserve">Validity check: wild count on reel 1 must be 0 for the closed form</t>
  </si>
  <si>
    <t xml:space="preserve">Kastel Fortune — single-line expected value, free-spin strips (unmultiplied)</t>
  </si>
  <si>
    <t xml:space="preserve">Free-spin strips</t>
  </si>
  <si>
    <t xml:space="preserve">Kastel Fortune — scatter-count distribution (exact)</t>
  </si>
  <si>
    <t xml:space="preserve">Each strip carries exactly one scatter, so P(scatter visible on reel i) = rows x count / length exactly (the 3 stops that show it). The total count is a sum of independent Bernoullis — computed by the DP  P_i(k) = P_(i-1)(k)(1-p_i) + P_(i-1)(k-1) p_i.</t>
  </si>
  <si>
    <t xml:space="preserve">Base game</t>
  </si>
  <si>
    <t xml:space="preserve">Reel</t>
  </si>
  <si>
    <t xml:space="preserve">S count</t>
  </si>
  <si>
    <t xml:space="preserve">Length</t>
  </si>
  <si>
    <t xml:space="preserve">p_i = rows x count / length</t>
  </si>
  <si>
    <t xml:space="preserve">P(k=0)</t>
  </si>
  <si>
    <t xml:space="preserve">P(k=1)</t>
  </si>
  <si>
    <t xml:space="preserve">P(k=2)</t>
  </si>
  <si>
    <t xml:space="preserve">P(k=3)</t>
  </si>
  <si>
    <t xml:space="preserve">P(k=4)</t>
  </si>
  <si>
    <t xml:space="preserve">P(k=5)</t>
  </si>
  <si>
    <t xml:space="preserve">Base-game scatter pays and trigger</t>
  </si>
  <si>
    <t xml:space="preserve">P(k)</t>
  </si>
  <si>
    <t xml:space="preserve">1 in</t>
  </si>
  <si>
    <t xml:space="preserve">RTP share</t>
  </si>
  <si>
    <t xml:space="preserve">Free spins</t>
  </si>
  <si>
    <t xml:space="preserve">P(trigger) = P(3+)</t>
  </si>
  <si>
    <t xml:space="preserve">Scatter RTP</t>
  </si>
  <si>
    <t xml:space="preserve">Free spins (retrigger probability per free spin)</t>
  </si>
  <si>
    <t xml:space="preserve">P(retrigger per free spin) = P(3+)</t>
  </si>
  <si>
    <t xml:space="preserve">Kastel Fortune — free spins as an absorbing Markov chain (expected payout, exact)</t>
  </si>
  <si>
    <t xml:space="preserve">State = (spins left n, multiplier m, retriggers used r). E(n,m,r) = m*(mu_wr+mu_wn) + p_wn*E(n-1,m',r) + p_nn*E(n-1,m,r) + p_wr*E(n+4,m',r+1) + p_nr*E(n+4,m,r+1); m' = min(m+1,5); when r = 4 the retrigger branches go to (n-1, ., 4). E(0,.,.) = 0.</t>
  </si>
  <si>
    <t xml:space="preserve">Per-free-spin outcome classes (joint law of 'line win &gt; 0' and '3+ scatters'); the four probabilities and two means come from the full enumeration of the free-spin strips (slotmath/exact.py: 12,644,352 combinations). Cross-checks against this workbook's own closed forms are below.</t>
  </si>
  <si>
    <t xml:space="preserve">Class</t>
  </si>
  <si>
    <t xml:space="preserve">Probability</t>
  </si>
  <si>
    <t xml:space="preserve">E[line win x 1{class}] (unmultiplied)</t>
  </si>
  <si>
    <t xml:space="preserve">Source</t>
  </si>
  <si>
    <t xml:space="preserve">win &amp; retrigger</t>
  </si>
  <si>
    <t xml:space="preserve">full enumeration (results/kastel_exact.pkl)</t>
  </si>
  <si>
    <t xml:space="preserve">win &amp; no retrigger</t>
  </si>
  <si>
    <t xml:space="preserve">no win &amp; retrigger</t>
  </si>
  <si>
    <t xml:space="preserve">no win &amp; no retrigger</t>
  </si>
  <si>
    <t xml:space="preserve">check: probabilities sum to 1</t>
  </si>
  <si>
    <t xml:space="preserve">check: P(retrigger) vs Scatters sheet (closed form)</t>
  </si>
  <si>
    <t xml:space="preserve">check: E[line win per free spin] vs Lines_FS (closed form) x lines</t>
  </si>
  <si>
    <t xml:space="preserve">E(n, m, r): expected remaining payout (x bet) from a state. Grid laid out for +5 spins per retrigger, max 4 retriggers, multiplier 1..5 step 1.</t>
  </si>
  <si>
    <t xml:space="preserve">m →</t>
  </si>
  <si>
    <t xml:space="preserve">r →</t>
  </si>
  <si>
    <t xml:space="preserve">n = 0</t>
  </si>
  <si>
    <t xml:space="preserve">Feature value by trigger size</t>
  </si>
  <si>
    <t xml:space="preserve">Initial spins</t>
  </si>
  <si>
    <t xml:space="preserve">E[feature payout] x bet</t>
  </si>
  <si>
    <t xml:space="preserve">P(trigger with k)</t>
  </si>
  <si>
    <t xml:space="preserve">RTP contribution</t>
  </si>
  <si>
    <t xml:space="preserve">Feature RTP (sum)</t>
  </si>
  <si>
    <t xml:space="preserve">Python exact (same recursion, slotmath/markov.py)</t>
  </si>
  <si>
    <t xml:space="preserve">Kastel Fortune — what-if: edit base-strip symbol COUNTS and read the RTP (feature strips unchanged)</t>
  </si>
  <si>
    <t xml:space="preserve">Blue counts are a copy of the current base strips. Change them (keep one scatter per reel and no wild on reel 1) to see how the dials move.</t>
  </si>
  <si>
    <t xml:space="preserve">p reel 1</t>
  </si>
  <si>
    <t xml:space="preserve">p reel 2</t>
  </si>
  <si>
    <t xml:space="preserve">p reel 3</t>
  </si>
  <si>
    <t xml:space="preserve">p reel 4</t>
  </si>
  <si>
    <t xml:space="preserve">p reel 5</t>
  </si>
  <si>
    <t xml:space="preserve">Scenario line EV (closed form on the scenario counts)</t>
  </si>
  <si>
    <t xml:space="preserve">Scenario scatter distribution</t>
  </si>
  <si>
    <t xml:space="preserve">Result</t>
  </si>
  <si>
    <t xml:space="preserve">Scenario</t>
  </si>
  <si>
    <t xml:space="preserve">Current</t>
  </si>
  <si>
    <t xml:space="preserve">Delta</t>
  </si>
  <si>
    <t xml:space="preserve">Line RTP</t>
  </si>
  <si>
    <t xml:space="preserve">Free-spins RTP (feature strips unchanged)</t>
  </si>
  <si>
    <t xml:space="preserve">TOTAL RTP</t>
  </si>
  <si>
    <t xml:space="preserve">Feature: 1 in N spins</t>
  </si>
  <si>
    <t xml:space="preserve">Validity: no wild on reel 1</t>
  </si>
  <si>
    <t xml:space="preserve">Kastel Fortune — bet levels and exposure</t>
  </si>
  <si>
    <t xml:space="preserve">Blue = inputs. Fill the jurisdiction's maximum stake (if any) in B4 to flag bet levels above it.</t>
  </si>
  <si>
    <t xml:space="preserve">Jurisdiction max stake (currency, blank = none)</t>
  </si>
  <si>
    <t xml:space="preserve">Bet level</t>
  </si>
  <si>
    <t xml:space="preserve">Per-line unit (bet / lines)</t>
  </si>
  <si>
    <t xml:space="preserve">Max win (cap x bet)</t>
  </si>
  <si>
    <t xml:space="preserve">Expected return per spin (RTP x bet)</t>
  </si>
  <si>
    <t xml:space="preserve">Expected loss per spin</t>
  </si>
  <si>
    <t xml:space="preserve">Check vs max stake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</si>
</sst>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0%"/>
    <numFmt numFmtId="166" formatCode="0.000000%"/>
    <numFmt numFmtId="167" formatCode="0.0"/>
    <numFmt numFmtId="168" formatCode="0.0000"/>
    <numFmt numFmtId="169" formatCode="0.000000"/>
    <numFmt numFmtId="170" formatCode="0.00"/>
    <numFmt numFmtId="171" formatCode="#,##0"/>
    <numFmt numFmtId="172" formatCode="0.00E+00"/>
    <numFmt numFmtId="173" formatCode="0.00%"/>
    <numFmt numFmtId="174" formatCode="0.000E+00"/>
    <numFmt numFmtId="175" formatCode="0.00000000"/>
    <numFmt numFmtId="17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12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</row>
    <row r="5" customFormat="false" ht="15" hidden="false" customHeight="false" outlineLevel="0" collapsed="false">
      <c r="A5" s="2" t="s">
        <v>20</v>
      </c>
      <c r="B5" s="4" t="n">
        <f aca="false">Paytable!$B$27*Lines_Base!$V$14</f>
        <v>0.587050509504213</v>
      </c>
      <c r="C5" s="5" t="n">
        <v>0.587050509504213</v>
      </c>
      <c r="D5" s="6" t="n">
        <f aca="false">B5-C5</f>
        <v>0</v>
      </c>
    </row>
    <row r="6" customFormat="false" ht="15" hidden="false" customHeight="false" outlineLevel="0" collapsed="false">
      <c r="A6" s="2" t="s">
        <v>21</v>
      </c>
      <c r="B6" s="4" t="n">
        <f aca="false">Scatters!$E$20</f>
        <v>0.0127908107687519</v>
      </c>
      <c r="C6" s="5" t="n">
        <v>0.0127908107687519</v>
      </c>
      <c r="D6" s="6" t="n">
        <f aca="false">B6-C6</f>
        <v>0</v>
      </c>
    </row>
    <row r="7" customFormat="false" ht="15" hidden="false" customHeight="false" outlineLevel="0" collapsed="false">
      <c r="A7" s="2" t="s">
        <v>22</v>
      </c>
      <c r="B7" s="4" t="n">
        <f aca="false">FreeSpins!$E$60</f>
        <v>0.362181158553111</v>
      </c>
      <c r="C7" s="5" t="n">
        <v>0.362181158553111</v>
      </c>
      <c r="D7" s="6" t="n">
        <f aca="false">B7-C7</f>
        <v>0</v>
      </c>
    </row>
    <row r="8" customFormat="false" ht="15" hidden="false" customHeight="false" outlineLevel="0" collapsed="false">
      <c r="A8" s="7" t="s">
        <v>23</v>
      </c>
      <c r="B8" s="8" t="n">
        <f aca="false">SUM(B5:B7)</f>
        <v>0.962022478826076</v>
      </c>
      <c r="C8" s="5" t="n">
        <v>0.962022478826077</v>
      </c>
      <c r="D8" s="6" t="n">
        <f aca="false">B8-C8</f>
        <v>0</v>
      </c>
    </row>
    <row r="9" customFormat="false" ht="15" hidden="false" customHeight="false" outlineLevel="0" collapsed="false">
      <c r="A9" s="2" t="s">
        <v>24</v>
      </c>
      <c r="C9" s="9" t="n">
        <v>2.11363367363937E-007</v>
      </c>
    </row>
    <row r="10" customFormat="false" ht="15" hidden="false" customHeight="false" outlineLevel="0" collapsed="false">
      <c r="A10" s="7" t="s">
        <v>25</v>
      </c>
      <c r="C10" s="5" t="n">
        <v>0.962022267462709</v>
      </c>
    </row>
    <row r="12" customFormat="false" ht="15" hidden="false" customHeight="false" outlineLevel="0" collapsed="false">
      <c r="A12" s="3" t="s">
        <v>26</v>
      </c>
      <c r="B12" s="3" t="s">
        <v>17</v>
      </c>
      <c r="C12" s="3" t="s">
        <v>18</v>
      </c>
      <c r="D12" s="3" t="s">
        <v>19</v>
      </c>
    </row>
    <row r="13" customFormat="false" ht="15" hidden="false" customHeight="false" outlineLevel="0" collapsed="false">
      <c r="A13" s="2" t="s">
        <v>27</v>
      </c>
      <c r="B13" s="4" t="n">
        <f aca="false">Lines_Base!$W$14</f>
        <v>0.0297496570644719</v>
      </c>
    </row>
    <row r="14" customFormat="false" ht="15" hidden="false" customHeight="false" outlineLevel="0" collapsed="false">
      <c r="A14" s="2" t="s">
        <v>28</v>
      </c>
      <c r="B14" s="4" t="n">
        <f aca="false">Scatters!$B$19</f>
        <v>0.00534498521630875</v>
      </c>
      <c r="C14" s="5" t="n">
        <v>0.00534498521630875</v>
      </c>
      <c r="D14" s="6" t="n">
        <f aca="false">B14-C14</f>
        <v>0</v>
      </c>
    </row>
    <row r="15" customFormat="false" ht="15" hidden="false" customHeight="false" outlineLevel="0" collapsed="false">
      <c r="A15" s="2" t="s">
        <v>29</v>
      </c>
      <c r="B15" s="10" t="n">
        <f aca="false">1/B14</f>
        <v>187.091256482577</v>
      </c>
    </row>
    <row r="16" customFormat="false" ht="15" hidden="false" customHeight="false" outlineLevel="0" collapsed="false">
      <c r="A16" s="2" t="s">
        <v>30</v>
      </c>
      <c r="B16" s="11" t="n">
        <f aca="false">FreeSpins!$C$57</f>
        <v>65.4049582515306</v>
      </c>
      <c r="C16" s="12" t="n">
        <v>65.4049582515306</v>
      </c>
      <c r="D16" s="13" t="n">
        <f aca="false">B16-C16</f>
        <v>0</v>
      </c>
    </row>
    <row r="17" customFormat="false" ht="15" hidden="false" customHeight="false" outlineLevel="0" collapsed="false">
      <c r="A17" s="2" t="s">
        <v>31</v>
      </c>
      <c r="B17" s="11" t="n">
        <f aca="false">FreeSpins!$C$58</f>
        <v>116.760557095298</v>
      </c>
      <c r="C17" s="12" t="n">
        <v>116.760557095298</v>
      </c>
      <c r="D17" s="13" t="n">
        <f aca="false">B17-C17</f>
        <v>0</v>
      </c>
    </row>
    <row r="18" customFormat="false" ht="15" hidden="false" customHeight="false" outlineLevel="0" collapsed="false">
      <c r="A18" s="2" t="s">
        <v>32</v>
      </c>
      <c r="B18" s="11" t="n">
        <f aca="false">FreeSpins!$C$59</f>
        <v>169.365266617046</v>
      </c>
      <c r="C18" s="12" t="n">
        <v>169.365266617047</v>
      </c>
      <c r="D18" s="13" t="n">
        <f aca="false">B18-C18</f>
        <v>0</v>
      </c>
    </row>
    <row r="19" customFormat="false" ht="15" hidden="false" customHeight="false" outlineLevel="0" collapsed="false">
      <c r="A19" s="2" t="s">
        <v>33</v>
      </c>
      <c r="B19" s="14" t="str">
        <f aca="false">Lines_Base!$V$15</f>
        <v>OK</v>
      </c>
    </row>
    <row r="21" customFormat="false" ht="15" hidden="false" customHeight="false" outlineLevel="0" collapsed="false">
      <c r="A21" s="3" t="s">
        <v>34</v>
      </c>
      <c r="B21" s="3"/>
      <c r="C21" s="3" t="s">
        <v>18</v>
      </c>
      <c r="D21" s="3"/>
    </row>
    <row r="22" customFormat="false" ht="15" hidden="false" customHeight="false" outlineLevel="0" collapsed="false">
      <c r="A22" s="2" t="s">
        <v>35</v>
      </c>
      <c r="C22" s="5" t="n">
        <v>0.348109405799357</v>
      </c>
    </row>
    <row r="23" customFormat="false" ht="15" hidden="false" customHeight="false" outlineLevel="0" collapsed="false">
      <c r="A23" s="2" t="s">
        <v>36</v>
      </c>
      <c r="C23" s="12" t="n">
        <v>7.55176202966236</v>
      </c>
    </row>
    <row r="24" customFormat="false" ht="15" hidden="false" customHeight="false" outlineLevel="0" collapsed="false">
      <c r="A24" s="2" t="s">
        <v>37</v>
      </c>
      <c r="C24" s="15" t="n">
        <v>14.8014535781382</v>
      </c>
    </row>
    <row r="25" customFormat="false" ht="15" hidden="false" customHeight="false" outlineLevel="0" collapsed="false">
      <c r="A25" s="2" t="s">
        <v>38</v>
      </c>
      <c r="C25" s="15" t="n">
        <v>67.7608903611263</v>
      </c>
    </row>
    <row r="26" customFormat="false" ht="15" hidden="false" customHeight="false" outlineLevel="0" collapsed="false">
      <c r="A26" s="2" t="s">
        <v>39</v>
      </c>
      <c r="C26" s="16" t="n">
        <v>47.8</v>
      </c>
    </row>
    <row r="27" customFormat="false" ht="15" hidden="false" customHeight="false" outlineLevel="0" collapsed="false">
      <c r="A27" s="2" t="s">
        <v>40</v>
      </c>
      <c r="C27" s="17" t="n">
        <v>913.861362523038</v>
      </c>
    </row>
    <row r="28" customFormat="false" ht="15" hidden="false" customHeight="false" outlineLevel="0" collapsed="false">
      <c r="A28" s="2" t="s">
        <v>41</v>
      </c>
      <c r="C28" s="17" t="n">
        <v>4319605.84931826</v>
      </c>
    </row>
    <row r="29" customFormat="false" ht="15" hidden="false" customHeight="false" outlineLevel="0" collapsed="false">
      <c r="A29" s="2" t="s">
        <v>42</v>
      </c>
      <c r="C29" s="18" t="n">
        <v>515636176.201294</v>
      </c>
    </row>
    <row r="30" customFormat="false" ht="15" hidden="false" customHeight="false" outlineLevel="0" collapsed="false">
      <c r="A30" s="2" t="s">
        <v>43</v>
      </c>
      <c r="C30" s="17" t="n">
        <v>55520640</v>
      </c>
    </row>
    <row r="31" customFormat="false" ht="15" hidden="false" customHeight="false" outlineLevel="0" collapsed="false">
      <c r="A31" s="2" t="s">
        <v>44</v>
      </c>
      <c r="C31" s="17" t="n">
        <v>12644352</v>
      </c>
    </row>
    <row r="33" customFormat="false" ht="15" hidden="false" customHeight="false" outlineLevel="0" collapsed="false">
      <c r="A3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</row>
    <row r="5" customFormat="false" ht="15" hidden="false" customHeight="false" outlineLevel="0" collapsed="false">
      <c r="A5" s="7" t="s">
        <v>53</v>
      </c>
      <c r="B5" s="2" t="s">
        <v>54</v>
      </c>
      <c r="C5" s="19" t="n">
        <v>0</v>
      </c>
      <c r="D5" s="19" t="n">
        <v>0</v>
      </c>
      <c r="E5" s="19" t="n">
        <v>0</v>
      </c>
    </row>
    <row r="6" customFormat="false" ht="15" hidden="false" customHeight="false" outlineLevel="0" collapsed="false">
      <c r="A6" s="7" t="s">
        <v>55</v>
      </c>
      <c r="B6" s="2" t="s">
        <v>56</v>
      </c>
      <c r="C6" s="19" t="n">
        <v>0</v>
      </c>
      <c r="D6" s="19" t="n">
        <v>0</v>
      </c>
      <c r="E6" s="19" t="n">
        <v>0</v>
      </c>
    </row>
    <row r="7" customFormat="false" ht="15" hidden="false" customHeight="false" outlineLevel="0" collapsed="false">
      <c r="A7" s="7" t="s">
        <v>57</v>
      </c>
      <c r="B7" s="2" t="s">
        <v>58</v>
      </c>
      <c r="C7" s="19" t="n">
        <v>2</v>
      </c>
      <c r="D7" s="19" t="n">
        <v>8</v>
      </c>
      <c r="E7" s="19" t="n">
        <v>40</v>
      </c>
    </row>
    <row r="8" customFormat="false" ht="15" hidden="false" customHeight="false" outlineLevel="0" collapsed="false">
      <c r="A8" s="7" t="s">
        <v>59</v>
      </c>
      <c r="B8" s="2" t="s">
        <v>60</v>
      </c>
      <c r="C8" s="19" t="n">
        <v>1.5</v>
      </c>
      <c r="D8" s="19" t="n">
        <v>5</v>
      </c>
      <c r="E8" s="19" t="n">
        <v>25</v>
      </c>
    </row>
    <row r="9" customFormat="false" ht="15" hidden="false" customHeight="false" outlineLevel="0" collapsed="false">
      <c r="A9" s="7" t="s">
        <v>61</v>
      </c>
      <c r="B9" s="2" t="s">
        <v>62</v>
      </c>
      <c r="C9" s="19" t="n">
        <v>1</v>
      </c>
      <c r="D9" s="19" t="n">
        <v>3</v>
      </c>
      <c r="E9" s="19" t="n">
        <v>15</v>
      </c>
    </row>
    <row r="10" customFormat="false" ht="15" hidden="false" customHeight="false" outlineLevel="0" collapsed="false">
      <c r="A10" s="7" t="s">
        <v>63</v>
      </c>
      <c r="B10" s="2" t="s">
        <v>64</v>
      </c>
      <c r="C10" s="19" t="n">
        <v>0.8</v>
      </c>
      <c r="D10" s="19" t="n">
        <v>2</v>
      </c>
      <c r="E10" s="19" t="n">
        <v>10</v>
      </c>
    </row>
    <row r="11" customFormat="false" ht="15" hidden="false" customHeight="false" outlineLevel="0" collapsed="false">
      <c r="A11" s="7" t="s">
        <v>65</v>
      </c>
      <c r="B11" s="2" t="s">
        <v>65</v>
      </c>
      <c r="C11" s="19" t="n">
        <v>0.4</v>
      </c>
      <c r="D11" s="19" t="n">
        <v>1.2</v>
      </c>
      <c r="E11" s="19" t="n">
        <v>5</v>
      </c>
    </row>
    <row r="12" customFormat="false" ht="15" hidden="false" customHeight="false" outlineLevel="0" collapsed="false">
      <c r="A12" s="7" t="s">
        <v>66</v>
      </c>
      <c r="B12" s="2" t="s">
        <v>66</v>
      </c>
      <c r="C12" s="19" t="n">
        <v>0.3</v>
      </c>
      <c r="D12" s="19" t="n">
        <v>1</v>
      </c>
      <c r="E12" s="19" t="n">
        <v>4</v>
      </c>
    </row>
    <row r="13" customFormat="false" ht="15" hidden="false" customHeight="false" outlineLevel="0" collapsed="false">
      <c r="A13" s="7" t="s">
        <v>67</v>
      </c>
      <c r="B13" s="2" t="s">
        <v>67</v>
      </c>
      <c r="C13" s="19" t="n">
        <v>0.3</v>
      </c>
      <c r="D13" s="19" t="n">
        <v>0.8</v>
      </c>
      <c r="E13" s="19" t="n">
        <v>3</v>
      </c>
    </row>
    <row r="14" customFormat="false" ht="15" hidden="false" customHeight="false" outlineLevel="0" collapsed="false">
      <c r="A14" s="7" t="s">
        <v>68</v>
      </c>
      <c r="B14" s="2" t="s">
        <v>68</v>
      </c>
      <c r="C14" s="19" t="n">
        <v>0.2</v>
      </c>
      <c r="D14" s="19" t="n">
        <v>0.6</v>
      </c>
      <c r="E14" s="19" t="n">
        <v>2.5</v>
      </c>
    </row>
    <row r="17" customFormat="false" ht="15" hidden="false" customHeight="false" outlineLevel="0" collapsed="false">
      <c r="A17" s="7" t="s">
        <v>69</v>
      </c>
    </row>
    <row r="18" customFormat="false" ht="26.85" hidden="false" customHeight="false" outlineLevel="0" collapsed="false">
      <c r="A18" s="3" t="s">
        <v>70</v>
      </c>
      <c r="B18" s="3" t="s">
        <v>71</v>
      </c>
      <c r="C18" s="3" t="s">
        <v>72</v>
      </c>
    </row>
    <row r="19" customFormat="false" ht="15" hidden="false" customHeight="false" outlineLevel="0" collapsed="false">
      <c r="A19" s="7" t="n">
        <v>3</v>
      </c>
      <c r="B19" s="19" t="n">
        <v>2</v>
      </c>
      <c r="C19" s="20" t="n">
        <v>10</v>
      </c>
    </row>
    <row r="20" customFormat="false" ht="15" hidden="false" customHeight="false" outlineLevel="0" collapsed="false">
      <c r="A20" s="7" t="n">
        <v>4</v>
      </c>
      <c r="B20" s="19" t="n">
        <v>10</v>
      </c>
      <c r="C20" s="20" t="n">
        <v>15</v>
      </c>
    </row>
    <row r="21" customFormat="false" ht="15" hidden="false" customHeight="false" outlineLevel="0" collapsed="false">
      <c r="A21" s="7" t="n">
        <v>5</v>
      </c>
      <c r="B21" s="19" t="n">
        <v>50</v>
      </c>
      <c r="C21" s="20" t="n">
        <v>20</v>
      </c>
    </row>
    <row r="24" customFormat="false" ht="15" hidden="false" customHeight="false" outlineLevel="0" collapsed="false">
      <c r="A24" s="7" t="s">
        <v>73</v>
      </c>
    </row>
    <row r="25" customFormat="false" ht="15" hidden="false" customHeight="false" outlineLevel="0" collapsed="false">
      <c r="A25" s="2" t="s">
        <v>74</v>
      </c>
      <c r="B25" s="20" t="n">
        <v>5</v>
      </c>
    </row>
    <row r="26" customFormat="false" ht="15" hidden="false" customHeight="false" outlineLevel="0" collapsed="false">
      <c r="A26" s="2" t="s">
        <v>75</v>
      </c>
      <c r="B26" s="20" t="n">
        <v>3</v>
      </c>
    </row>
    <row r="27" customFormat="false" ht="15" hidden="false" customHeight="false" outlineLevel="0" collapsed="false">
      <c r="A27" s="2" t="s">
        <v>76</v>
      </c>
      <c r="B27" s="20" t="n">
        <v>20</v>
      </c>
    </row>
    <row r="28" customFormat="false" ht="15" hidden="false" customHeight="false" outlineLevel="0" collapsed="false">
      <c r="A28" s="2" t="s">
        <v>77</v>
      </c>
      <c r="B28" s="20" t="n">
        <v>1500</v>
      </c>
    </row>
    <row r="29" customFormat="false" ht="15" hidden="false" customHeight="false" outlineLevel="0" collapsed="false">
      <c r="A29" s="2" t="s">
        <v>78</v>
      </c>
      <c r="B29" s="20" t="n">
        <v>3</v>
      </c>
    </row>
    <row r="30" customFormat="false" ht="15" hidden="false" customHeight="false" outlineLevel="0" collapsed="false">
      <c r="A30" s="2" t="s">
        <v>79</v>
      </c>
      <c r="B30" s="20" t="n">
        <v>5</v>
      </c>
    </row>
    <row r="31" customFormat="false" ht="15" hidden="false" customHeight="false" outlineLevel="0" collapsed="false">
      <c r="A31" s="2" t="s">
        <v>80</v>
      </c>
      <c r="B31" s="20" t="n">
        <v>4</v>
      </c>
    </row>
    <row r="32" customFormat="false" ht="15" hidden="false" customHeight="false" outlineLevel="0" collapsed="false">
      <c r="A32" s="2" t="s">
        <v>81</v>
      </c>
      <c r="B32" s="20" t="n">
        <v>1</v>
      </c>
    </row>
    <row r="33" customFormat="false" ht="15" hidden="false" customHeight="false" outlineLevel="0" collapsed="false">
      <c r="A33" s="2" t="s">
        <v>82</v>
      </c>
      <c r="B33" s="20" t="n">
        <v>1</v>
      </c>
    </row>
    <row r="34" customFormat="false" ht="15" hidden="false" customHeight="false" outlineLevel="0" collapsed="false">
      <c r="A34" s="2" t="s">
        <v>83</v>
      </c>
      <c r="B34" s="2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6" min="2" style="0" width="8"/>
    <col collapsed="false" customWidth="true" hidden="false" outlineLevel="0" max="9" min="9" style="0" width="14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I3" s="7" t="s">
        <v>86</v>
      </c>
      <c r="P3" s="7" t="s">
        <v>87</v>
      </c>
    </row>
    <row r="4" customFormat="false" ht="15" hidden="false" customHeight="false" outlineLevel="0" collapsed="false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I4" s="3" t="s">
        <v>48</v>
      </c>
      <c r="J4" s="3" t="s">
        <v>89</v>
      </c>
      <c r="K4" s="3" t="s">
        <v>90</v>
      </c>
      <c r="L4" s="3" t="s">
        <v>91</v>
      </c>
      <c r="M4" s="3" t="s">
        <v>92</v>
      </c>
      <c r="N4" s="3" t="s">
        <v>93</v>
      </c>
      <c r="P4" s="3" t="s">
        <v>48</v>
      </c>
      <c r="Q4" s="3" t="s">
        <v>89</v>
      </c>
      <c r="R4" s="3" t="s">
        <v>90</v>
      </c>
      <c r="S4" s="3" t="s">
        <v>91</v>
      </c>
      <c r="T4" s="3" t="s">
        <v>92</v>
      </c>
      <c r="U4" s="3" t="s">
        <v>93</v>
      </c>
    </row>
    <row r="5" customFormat="false" ht="15" hidden="false" customHeight="false" outlineLevel="0" collapsed="false">
      <c r="A5" s="2" t="n">
        <v>1</v>
      </c>
      <c r="B5" s="21" t="s">
        <v>65</v>
      </c>
      <c r="C5" s="21" t="s">
        <v>65</v>
      </c>
      <c r="D5" s="21" t="s">
        <v>65</v>
      </c>
      <c r="E5" s="21" t="s">
        <v>63</v>
      </c>
      <c r="F5" s="21" t="s">
        <v>65</v>
      </c>
      <c r="I5" s="7" t="s">
        <v>53</v>
      </c>
      <c r="J5" s="2" t="n">
        <f aca="false">COUNTIF(B$5:B$54,$I5)</f>
        <v>0</v>
      </c>
      <c r="K5" s="2" t="n">
        <f aca="false">COUNTIF(C$5:C$54,$I5)</f>
        <v>2</v>
      </c>
      <c r="L5" s="2" t="n">
        <f aca="false">COUNTIF(D$5:D$54,$I5)</f>
        <v>2</v>
      </c>
      <c r="M5" s="2" t="n">
        <f aca="false">COUNTIF(E$5:E$54,$I5)</f>
        <v>2</v>
      </c>
      <c r="N5" s="2" t="n">
        <f aca="false">COUNTIF(F$5:F$54,$I5)</f>
        <v>0</v>
      </c>
      <c r="P5" s="7" t="s">
        <v>53</v>
      </c>
      <c r="Q5" s="22" t="n">
        <f aca="false">J5/J$15</f>
        <v>0</v>
      </c>
      <c r="R5" s="22" t="n">
        <f aca="false">K5/K$15</f>
        <v>0.0555555555555556</v>
      </c>
      <c r="S5" s="22" t="n">
        <f aca="false">L5/L$15</f>
        <v>0.0555555555555556</v>
      </c>
      <c r="T5" s="22" t="n">
        <f aca="false">M5/M$15</f>
        <v>0.0571428571428571</v>
      </c>
      <c r="U5" s="22" t="n">
        <f aca="false">N5/N$15</f>
        <v>0</v>
      </c>
    </row>
    <row r="6" customFormat="false" ht="15" hidden="false" customHeight="false" outlineLevel="0" collapsed="false">
      <c r="A6" s="2" t="n">
        <v>2</v>
      </c>
      <c r="B6" s="21" t="s">
        <v>66</v>
      </c>
      <c r="C6" s="21" t="s">
        <v>66</v>
      </c>
      <c r="D6" s="21" t="s">
        <v>66</v>
      </c>
      <c r="E6" s="21" t="s">
        <v>65</v>
      </c>
      <c r="F6" s="21" t="s">
        <v>57</v>
      </c>
      <c r="I6" s="7" t="s">
        <v>55</v>
      </c>
      <c r="J6" s="2" t="n">
        <f aca="false">COUNTIF(B$5:B$54,$I6)</f>
        <v>1</v>
      </c>
      <c r="K6" s="2" t="n">
        <f aca="false">COUNTIF(C$5:C$54,$I6)</f>
        <v>1</v>
      </c>
      <c r="L6" s="2" t="n">
        <f aca="false">COUNTIF(D$5:D$54,$I6)</f>
        <v>1</v>
      </c>
      <c r="M6" s="2" t="n">
        <f aca="false">COUNTIF(E$5:E$54,$I6)</f>
        <v>1</v>
      </c>
      <c r="N6" s="2" t="n">
        <f aca="false">COUNTIF(F$5:F$54,$I6)</f>
        <v>1</v>
      </c>
      <c r="P6" s="7" t="s">
        <v>55</v>
      </c>
      <c r="Q6" s="22" t="n">
        <f aca="false">J6/J$15</f>
        <v>0.0277777777777778</v>
      </c>
      <c r="R6" s="22" t="n">
        <f aca="false">K6/K$15</f>
        <v>0.0277777777777778</v>
      </c>
      <c r="S6" s="22" t="n">
        <f aca="false">L6/L$15</f>
        <v>0.0277777777777778</v>
      </c>
      <c r="T6" s="22" t="n">
        <f aca="false">M6/M$15</f>
        <v>0.0285714285714286</v>
      </c>
      <c r="U6" s="22" t="n">
        <f aca="false">N6/N$15</f>
        <v>0.0294117647058824</v>
      </c>
    </row>
    <row r="7" customFormat="false" ht="15" hidden="false" customHeight="false" outlineLevel="0" collapsed="false">
      <c r="A7" s="2" t="n">
        <v>3</v>
      </c>
      <c r="B7" s="21" t="s">
        <v>67</v>
      </c>
      <c r="C7" s="21" t="s">
        <v>67</v>
      </c>
      <c r="D7" s="21" t="s">
        <v>67</v>
      </c>
      <c r="E7" s="21" t="s">
        <v>67</v>
      </c>
      <c r="F7" s="21" t="s">
        <v>59</v>
      </c>
      <c r="I7" s="7" t="s">
        <v>57</v>
      </c>
      <c r="J7" s="2" t="n">
        <f aca="false">COUNTIF(B$5:B$54,$I7)</f>
        <v>3</v>
      </c>
      <c r="K7" s="2" t="n">
        <f aca="false">COUNTIF(C$5:C$54,$I7)</f>
        <v>4</v>
      </c>
      <c r="L7" s="2" t="n">
        <f aca="false">COUNTIF(D$5:D$54,$I7)</f>
        <v>4</v>
      </c>
      <c r="M7" s="2" t="n">
        <f aca="false">COUNTIF(E$5:E$54,$I7)</f>
        <v>4</v>
      </c>
      <c r="N7" s="2" t="n">
        <f aca="false">COUNTIF(F$5:F$54,$I7)</f>
        <v>3</v>
      </c>
      <c r="P7" s="7" t="s">
        <v>57</v>
      </c>
      <c r="Q7" s="22" t="n">
        <f aca="false">J7/J$15</f>
        <v>0.0833333333333333</v>
      </c>
      <c r="R7" s="22" t="n">
        <f aca="false">K7/K$15</f>
        <v>0.111111111111111</v>
      </c>
      <c r="S7" s="22" t="n">
        <f aca="false">L7/L$15</f>
        <v>0.111111111111111</v>
      </c>
      <c r="T7" s="22" t="n">
        <f aca="false">M7/M$15</f>
        <v>0.114285714285714</v>
      </c>
      <c r="U7" s="22" t="n">
        <f aca="false">N7/N$15</f>
        <v>0.0882352941176471</v>
      </c>
    </row>
    <row r="8" customFormat="false" ht="15" hidden="false" customHeight="false" outlineLevel="0" collapsed="false">
      <c r="A8" s="2" t="n">
        <v>4</v>
      </c>
      <c r="B8" s="21" t="s">
        <v>68</v>
      </c>
      <c r="C8" s="21" t="s">
        <v>68</v>
      </c>
      <c r="D8" s="21" t="s">
        <v>68</v>
      </c>
      <c r="E8" s="21" t="s">
        <v>66</v>
      </c>
      <c r="F8" s="21" t="s">
        <v>68</v>
      </c>
      <c r="I8" s="7" t="s">
        <v>59</v>
      </c>
      <c r="J8" s="2" t="n">
        <f aca="false">COUNTIF(B$5:B$54,$I8)</f>
        <v>4</v>
      </c>
      <c r="K8" s="2" t="n">
        <f aca="false">COUNTIF(C$5:C$54,$I8)</f>
        <v>4</v>
      </c>
      <c r="L8" s="2" t="n">
        <f aca="false">COUNTIF(D$5:D$54,$I8)</f>
        <v>3</v>
      </c>
      <c r="M8" s="2" t="n">
        <f aca="false">COUNTIF(E$5:E$54,$I8)</f>
        <v>2</v>
      </c>
      <c r="N8" s="2" t="n">
        <f aca="false">COUNTIF(F$5:F$54,$I8)</f>
        <v>5</v>
      </c>
      <c r="P8" s="7" t="s">
        <v>59</v>
      </c>
      <c r="Q8" s="22" t="n">
        <f aca="false">J8/J$15</f>
        <v>0.111111111111111</v>
      </c>
      <c r="R8" s="22" t="n">
        <f aca="false">K8/K$15</f>
        <v>0.111111111111111</v>
      </c>
      <c r="S8" s="22" t="n">
        <f aca="false">L8/L$15</f>
        <v>0.0833333333333333</v>
      </c>
      <c r="T8" s="22" t="n">
        <f aca="false">M8/M$15</f>
        <v>0.0571428571428571</v>
      </c>
      <c r="U8" s="22" t="n">
        <f aca="false">N8/N$15</f>
        <v>0.147058823529412</v>
      </c>
    </row>
    <row r="9" customFormat="false" ht="15" hidden="false" customHeight="false" outlineLevel="0" collapsed="false">
      <c r="A9" s="2" t="n">
        <v>5</v>
      </c>
      <c r="B9" s="21" t="s">
        <v>59</v>
      </c>
      <c r="C9" s="21" t="s">
        <v>59</v>
      </c>
      <c r="D9" s="21" t="s">
        <v>55</v>
      </c>
      <c r="E9" s="21" t="s">
        <v>61</v>
      </c>
      <c r="F9" s="21" t="s">
        <v>61</v>
      </c>
      <c r="I9" s="7" t="s">
        <v>61</v>
      </c>
      <c r="J9" s="2" t="n">
        <f aca="false">COUNTIF(B$5:B$54,$I9)</f>
        <v>4</v>
      </c>
      <c r="K9" s="2" t="n">
        <f aca="false">COUNTIF(C$5:C$54,$I9)</f>
        <v>3</v>
      </c>
      <c r="L9" s="2" t="n">
        <f aca="false">COUNTIF(D$5:D$54,$I9)</f>
        <v>3</v>
      </c>
      <c r="M9" s="2" t="n">
        <f aca="false">COUNTIF(E$5:E$54,$I9)</f>
        <v>2</v>
      </c>
      <c r="N9" s="2" t="n">
        <f aca="false">COUNTIF(F$5:F$54,$I9)</f>
        <v>4</v>
      </c>
      <c r="P9" s="7" t="s">
        <v>61</v>
      </c>
      <c r="Q9" s="22" t="n">
        <f aca="false">J9/J$15</f>
        <v>0.111111111111111</v>
      </c>
      <c r="R9" s="22" t="n">
        <f aca="false">K9/K$15</f>
        <v>0.0833333333333333</v>
      </c>
      <c r="S9" s="22" t="n">
        <f aca="false">L9/L$15</f>
        <v>0.0833333333333333</v>
      </c>
      <c r="T9" s="22" t="n">
        <f aca="false">M9/M$15</f>
        <v>0.0571428571428571</v>
      </c>
      <c r="U9" s="22" t="n">
        <f aca="false">N9/N$15</f>
        <v>0.117647058823529</v>
      </c>
    </row>
    <row r="10" customFormat="false" ht="15" hidden="false" customHeight="false" outlineLevel="0" collapsed="false">
      <c r="A10" s="2" t="n">
        <v>6</v>
      </c>
      <c r="B10" s="21" t="s">
        <v>61</v>
      </c>
      <c r="C10" s="21" t="s">
        <v>55</v>
      </c>
      <c r="D10" s="21" t="s">
        <v>59</v>
      </c>
      <c r="E10" s="21" t="s">
        <v>57</v>
      </c>
      <c r="F10" s="21" t="s">
        <v>65</v>
      </c>
      <c r="I10" s="7" t="s">
        <v>63</v>
      </c>
      <c r="J10" s="2" t="n">
        <f aca="false">COUNTIF(B$5:B$54,$I10)</f>
        <v>4</v>
      </c>
      <c r="K10" s="2" t="n">
        <f aca="false">COUNTIF(C$5:C$54,$I10)</f>
        <v>2</v>
      </c>
      <c r="L10" s="2" t="n">
        <f aca="false">COUNTIF(D$5:D$54,$I10)</f>
        <v>3</v>
      </c>
      <c r="M10" s="2" t="n">
        <f aca="false">COUNTIF(E$5:E$54,$I10)</f>
        <v>5</v>
      </c>
      <c r="N10" s="2" t="n">
        <f aca="false">COUNTIF(F$5:F$54,$I10)</f>
        <v>4</v>
      </c>
      <c r="P10" s="7" t="s">
        <v>63</v>
      </c>
      <c r="Q10" s="22" t="n">
        <f aca="false">J10/J$15</f>
        <v>0.111111111111111</v>
      </c>
      <c r="R10" s="22" t="n">
        <f aca="false">K10/K$15</f>
        <v>0.0555555555555556</v>
      </c>
      <c r="S10" s="22" t="n">
        <f aca="false">L10/L$15</f>
        <v>0.0833333333333333</v>
      </c>
      <c r="T10" s="22" t="n">
        <f aca="false">M10/M$15</f>
        <v>0.142857142857143</v>
      </c>
      <c r="U10" s="22" t="n">
        <f aca="false">N10/N$15</f>
        <v>0.117647058823529</v>
      </c>
    </row>
    <row r="11" customFormat="false" ht="15" hidden="false" customHeight="false" outlineLevel="0" collapsed="false">
      <c r="A11" s="2" t="n">
        <v>7</v>
      </c>
      <c r="B11" s="21" t="s">
        <v>63</v>
      </c>
      <c r="C11" s="21" t="s">
        <v>63</v>
      </c>
      <c r="D11" s="21" t="s">
        <v>57</v>
      </c>
      <c r="E11" s="21" t="s">
        <v>65</v>
      </c>
      <c r="F11" s="21" t="s">
        <v>63</v>
      </c>
      <c r="I11" s="7" t="s">
        <v>65</v>
      </c>
      <c r="J11" s="2" t="n">
        <f aca="false">COUNTIF(B$5:B$54,$I11)</f>
        <v>5</v>
      </c>
      <c r="K11" s="2" t="n">
        <f aca="false">COUNTIF(C$5:C$54,$I11)</f>
        <v>5</v>
      </c>
      <c r="L11" s="2" t="n">
        <f aca="false">COUNTIF(D$5:D$54,$I11)</f>
        <v>5</v>
      </c>
      <c r="M11" s="2" t="n">
        <f aca="false">COUNTIF(E$5:E$54,$I11)</f>
        <v>7</v>
      </c>
      <c r="N11" s="2" t="n">
        <f aca="false">COUNTIF(F$5:F$54,$I11)</f>
        <v>6</v>
      </c>
      <c r="P11" s="7" t="s">
        <v>65</v>
      </c>
      <c r="Q11" s="22" t="n">
        <f aca="false">J11/J$15</f>
        <v>0.138888888888889</v>
      </c>
      <c r="R11" s="22" t="n">
        <f aca="false">K11/K$15</f>
        <v>0.138888888888889</v>
      </c>
      <c r="S11" s="22" t="n">
        <f aca="false">L11/L$15</f>
        <v>0.138888888888889</v>
      </c>
      <c r="T11" s="22" t="n">
        <f aca="false">M11/M$15</f>
        <v>0.2</v>
      </c>
      <c r="U11" s="22" t="n">
        <f aca="false">N11/N$15</f>
        <v>0.176470588235294</v>
      </c>
    </row>
    <row r="12" customFormat="false" ht="15" hidden="false" customHeight="false" outlineLevel="0" collapsed="false">
      <c r="A12" s="2" t="n">
        <v>8</v>
      </c>
      <c r="B12" s="21" t="s">
        <v>65</v>
      </c>
      <c r="C12" s="21" t="s">
        <v>65</v>
      </c>
      <c r="D12" s="21" t="s">
        <v>65</v>
      </c>
      <c r="E12" s="21" t="s">
        <v>68</v>
      </c>
      <c r="F12" s="21" t="s">
        <v>66</v>
      </c>
      <c r="I12" s="7" t="s">
        <v>66</v>
      </c>
      <c r="J12" s="2" t="n">
        <f aca="false">COUNTIF(B$5:B$54,$I12)</f>
        <v>5</v>
      </c>
      <c r="K12" s="2" t="n">
        <f aca="false">COUNTIF(C$5:C$54,$I12)</f>
        <v>5</v>
      </c>
      <c r="L12" s="2" t="n">
        <f aca="false">COUNTIF(D$5:D$54,$I12)</f>
        <v>5</v>
      </c>
      <c r="M12" s="2" t="n">
        <f aca="false">COUNTIF(E$5:E$54,$I12)</f>
        <v>3</v>
      </c>
      <c r="N12" s="2" t="n">
        <f aca="false">COUNTIF(F$5:F$54,$I12)</f>
        <v>4</v>
      </c>
      <c r="P12" s="7" t="s">
        <v>66</v>
      </c>
      <c r="Q12" s="22" t="n">
        <f aca="false">J12/J$15</f>
        <v>0.138888888888889</v>
      </c>
      <c r="R12" s="22" t="n">
        <f aca="false">K12/K$15</f>
        <v>0.138888888888889</v>
      </c>
      <c r="S12" s="22" t="n">
        <f aca="false">L12/L$15</f>
        <v>0.138888888888889</v>
      </c>
      <c r="T12" s="22" t="n">
        <f aca="false">M12/M$15</f>
        <v>0.0857142857142857</v>
      </c>
      <c r="U12" s="22" t="n">
        <f aca="false">N12/N$15</f>
        <v>0.117647058823529</v>
      </c>
    </row>
    <row r="13" customFormat="false" ht="15" hidden="false" customHeight="false" outlineLevel="0" collapsed="false">
      <c r="A13" s="2" t="n">
        <v>9</v>
      </c>
      <c r="B13" s="21" t="s">
        <v>66</v>
      </c>
      <c r="C13" s="21" t="s">
        <v>66</v>
      </c>
      <c r="D13" s="21" t="s">
        <v>66</v>
      </c>
      <c r="E13" s="21" t="s">
        <v>63</v>
      </c>
      <c r="F13" s="21" t="s">
        <v>59</v>
      </c>
      <c r="I13" s="7" t="s">
        <v>67</v>
      </c>
      <c r="J13" s="2" t="n">
        <f aca="false">COUNTIF(B$5:B$54,$I13)</f>
        <v>5</v>
      </c>
      <c r="K13" s="2" t="n">
        <f aca="false">COUNTIF(C$5:C$54,$I13)</f>
        <v>5</v>
      </c>
      <c r="L13" s="2" t="n">
        <f aca="false">COUNTIF(D$5:D$54,$I13)</f>
        <v>5</v>
      </c>
      <c r="M13" s="2" t="n">
        <f aca="false">COUNTIF(E$5:E$54,$I13)</f>
        <v>5</v>
      </c>
      <c r="N13" s="2" t="n">
        <f aca="false">COUNTIF(F$5:F$54,$I13)</f>
        <v>4</v>
      </c>
      <c r="P13" s="7" t="s">
        <v>67</v>
      </c>
      <c r="Q13" s="22" t="n">
        <f aca="false">J13/J$15</f>
        <v>0.138888888888889</v>
      </c>
      <c r="R13" s="22" t="n">
        <f aca="false">K13/K$15</f>
        <v>0.138888888888889</v>
      </c>
      <c r="S13" s="22" t="n">
        <f aca="false">L13/L$15</f>
        <v>0.138888888888889</v>
      </c>
      <c r="T13" s="22" t="n">
        <f aca="false">M13/M$15</f>
        <v>0.142857142857143</v>
      </c>
      <c r="U13" s="22" t="n">
        <f aca="false">N13/N$15</f>
        <v>0.117647058823529</v>
      </c>
    </row>
    <row r="14" customFormat="false" ht="15" hidden="false" customHeight="false" outlineLevel="0" collapsed="false">
      <c r="A14" s="2" t="n">
        <v>10</v>
      </c>
      <c r="B14" s="21" t="s">
        <v>67</v>
      </c>
      <c r="C14" s="21" t="s">
        <v>67</v>
      </c>
      <c r="D14" s="21" t="s">
        <v>67</v>
      </c>
      <c r="E14" s="21" t="s">
        <v>67</v>
      </c>
      <c r="F14" s="21" t="s">
        <v>67</v>
      </c>
      <c r="I14" s="7" t="s">
        <v>68</v>
      </c>
      <c r="J14" s="2" t="n">
        <f aca="false">COUNTIF(B$5:B$54,$I14)</f>
        <v>5</v>
      </c>
      <c r="K14" s="2" t="n">
        <f aca="false">COUNTIF(C$5:C$54,$I14)</f>
        <v>5</v>
      </c>
      <c r="L14" s="2" t="n">
        <f aca="false">COUNTIF(D$5:D$54,$I14)</f>
        <v>5</v>
      </c>
      <c r="M14" s="2" t="n">
        <f aca="false">COUNTIF(E$5:E$54,$I14)</f>
        <v>4</v>
      </c>
      <c r="N14" s="2" t="n">
        <f aca="false">COUNTIF(F$5:F$54,$I14)</f>
        <v>3</v>
      </c>
      <c r="P14" s="7" t="s">
        <v>68</v>
      </c>
      <c r="Q14" s="22" t="n">
        <f aca="false">J14/J$15</f>
        <v>0.138888888888889</v>
      </c>
      <c r="R14" s="22" t="n">
        <f aca="false">K14/K$15</f>
        <v>0.138888888888889</v>
      </c>
      <c r="S14" s="22" t="n">
        <f aca="false">L14/L$15</f>
        <v>0.138888888888889</v>
      </c>
      <c r="T14" s="22" t="n">
        <f aca="false">M14/M$15</f>
        <v>0.114285714285714</v>
      </c>
      <c r="U14" s="22" t="n">
        <f aca="false">N14/N$15</f>
        <v>0.0882352941176471</v>
      </c>
    </row>
    <row r="15" customFormat="false" ht="15" hidden="false" customHeight="false" outlineLevel="0" collapsed="false">
      <c r="A15" s="2" t="n">
        <v>11</v>
      </c>
      <c r="B15" s="21" t="s">
        <v>68</v>
      </c>
      <c r="C15" s="21" t="s">
        <v>68</v>
      </c>
      <c r="D15" s="21" t="s">
        <v>68</v>
      </c>
      <c r="E15" s="21" t="s">
        <v>59</v>
      </c>
      <c r="F15" s="21" t="s">
        <v>57</v>
      </c>
      <c r="I15" s="7" t="s">
        <v>94</v>
      </c>
      <c r="J15" s="7" t="n">
        <f aca="false">COUNTA(B$5:B$54)</f>
        <v>36</v>
      </c>
      <c r="K15" s="7" t="n">
        <f aca="false">COUNTA(C$5:C$54)</f>
        <v>36</v>
      </c>
      <c r="L15" s="7" t="n">
        <f aca="false">COUNTA(D$5:D$54)</f>
        <v>36</v>
      </c>
      <c r="M15" s="7" t="n">
        <f aca="false">COUNTA(E$5:E$54)</f>
        <v>35</v>
      </c>
      <c r="N15" s="7" t="n">
        <f aca="false">COUNTA(F$5:F$54)</f>
        <v>34</v>
      </c>
      <c r="P15" s="7" t="s">
        <v>95</v>
      </c>
      <c r="Q15" s="23" t="n">
        <f aca="false">SUM(Q5:Q14)</f>
        <v>1</v>
      </c>
      <c r="R15" s="23" t="n">
        <f aca="false">SUM(R5:R14)</f>
        <v>1</v>
      </c>
      <c r="S15" s="23" t="n">
        <f aca="false">SUM(S5:S14)</f>
        <v>1</v>
      </c>
      <c r="T15" s="23" t="n">
        <f aca="false">SUM(T5:T14)</f>
        <v>1</v>
      </c>
      <c r="U15" s="23" t="n">
        <f aca="false">SUM(U5:U14)</f>
        <v>1</v>
      </c>
    </row>
    <row r="16" customFormat="false" ht="15" hidden="false" customHeight="false" outlineLevel="0" collapsed="false">
      <c r="A16" s="2" t="n">
        <v>12</v>
      </c>
      <c r="B16" s="21" t="s">
        <v>57</v>
      </c>
      <c r="C16" s="21" t="s">
        <v>57</v>
      </c>
      <c r="D16" s="21" t="s">
        <v>61</v>
      </c>
      <c r="E16" s="21" t="s">
        <v>65</v>
      </c>
      <c r="F16" s="21" t="s">
        <v>65</v>
      </c>
    </row>
    <row r="17" customFormat="false" ht="15" hidden="false" customHeight="false" outlineLevel="0" collapsed="false">
      <c r="A17" s="2" t="n">
        <v>13</v>
      </c>
      <c r="B17" s="21" t="s">
        <v>59</v>
      </c>
      <c r="C17" s="21" t="s">
        <v>59</v>
      </c>
      <c r="D17" s="21" t="s">
        <v>63</v>
      </c>
      <c r="E17" s="21" t="s">
        <v>53</v>
      </c>
      <c r="F17" s="21" t="s">
        <v>68</v>
      </c>
    </row>
    <row r="18" customFormat="false" ht="15" hidden="false" customHeight="false" outlineLevel="0" collapsed="false">
      <c r="A18" s="2" t="n">
        <v>14</v>
      </c>
      <c r="B18" s="21" t="s">
        <v>61</v>
      </c>
      <c r="C18" s="21" t="s">
        <v>61</v>
      </c>
      <c r="D18" s="21" t="s">
        <v>53</v>
      </c>
      <c r="E18" s="21" t="s">
        <v>68</v>
      </c>
      <c r="F18" s="21" t="s">
        <v>61</v>
      </c>
    </row>
    <row r="19" customFormat="false" ht="15" hidden="false" customHeight="false" outlineLevel="0" collapsed="false">
      <c r="A19" s="2" t="n">
        <v>15</v>
      </c>
      <c r="B19" s="21" t="s">
        <v>65</v>
      </c>
      <c r="C19" s="21" t="s">
        <v>65</v>
      </c>
      <c r="D19" s="21" t="s">
        <v>65</v>
      </c>
      <c r="E19" s="21" t="s">
        <v>63</v>
      </c>
      <c r="F19" s="21" t="s">
        <v>63</v>
      </c>
    </row>
    <row r="20" customFormat="false" ht="15" hidden="false" customHeight="false" outlineLevel="0" collapsed="false">
      <c r="A20" s="2" t="n">
        <v>16</v>
      </c>
      <c r="B20" s="21" t="s">
        <v>66</v>
      </c>
      <c r="C20" s="21" t="s">
        <v>66</v>
      </c>
      <c r="D20" s="21" t="s">
        <v>66</v>
      </c>
      <c r="E20" s="21" t="s">
        <v>67</v>
      </c>
      <c r="F20" s="21" t="s">
        <v>59</v>
      </c>
    </row>
    <row r="21" customFormat="false" ht="15" hidden="false" customHeight="false" outlineLevel="0" collapsed="false">
      <c r="A21" s="2" t="n">
        <v>17</v>
      </c>
      <c r="B21" s="21" t="s">
        <v>67</v>
      </c>
      <c r="C21" s="21" t="s">
        <v>67</v>
      </c>
      <c r="D21" s="21" t="s">
        <v>67</v>
      </c>
      <c r="E21" s="21" t="s">
        <v>65</v>
      </c>
      <c r="F21" s="21" t="s">
        <v>66</v>
      </c>
    </row>
    <row r="22" customFormat="false" ht="15" hidden="false" customHeight="false" outlineLevel="0" collapsed="false">
      <c r="A22" s="2" t="n">
        <v>18</v>
      </c>
      <c r="B22" s="21" t="s">
        <v>68</v>
      </c>
      <c r="C22" s="21" t="s">
        <v>68</v>
      </c>
      <c r="D22" s="21" t="s">
        <v>68</v>
      </c>
      <c r="E22" s="21" t="s">
        <v>57</v>
      </c>
      <c r="F22" s="21" t="s">
        <v>65</v>
      </c>
    </row>
    <row r="23" customFormat="false" ht="15" hidden="false" customHeight="false" outlineLevel="0" collapsed="false">
      <c r="A23" s="2" t="n">
        <v>19</v>
      </c>
      <c r="B23" s="21" t="s">
        <v>63</v>
      </c>
      <c r="C23" s="21" t="s">
        <v>53</v>
      </c>
      <c r="D23" s="21" t="s">
        <v>57</v>
      </c>
      <c r="E23" s="21" t="s">
        <v>66</v>
      </c>
      <c r="F23" s="21" t="s">
        <v>67</v>
      </c>
    </row>
    <row r="24" customFormat="false" ht="15" hidden="false" customHeight="false" outlineLevel="0" collapsed="false">
      <c r="A24" s="2" t="n">
        <v>20</v>
      </c>
      <c r="B24" s="21" t="s">
        <v>57</v>
      </c>
      <c r="C24" s="21" t="s">
        <v>57</v>
      </c>
      <c r="D24" s="21" t="s">
        <v>59</v>
      </c>
      <c r="E24" s="21" t="s">
        <v>55</v>
      </c>
      <c r="F24" s="21" t="s">
        <v>55</v>
      </c>
    </row>
    <row r="25" customFormat="false" ht="15" hidden="false" customHeight="false" outlineLevel="0" collapsed="false">
      <c r="A25" s="2" t="n">
        <v>21</v>
      </c>
      <c r="B25" s="21" t="s">
        <v>59</v>
      </c>
      <c r="C25" s="21" t="s">
        <v>59</v>
      </c>
      <c r="D25" s="21" t="s">
        <v>61</v>
      </c>
      <c r="E25" s="21" t="s">
        <v>61</v>
      </c>
      <c r="F25" s="21" t="s">
        <v>61</v>
      </c>
    </row>
    <row r="26" customFormat="false" ht="15" hidden="false" customHeight="false" outlineLevel="0" collapsed="false">
      <c r="A26" s="2" t="n">
        <v>22</v>
      </c>
      <c r="B26" s="21" t="s">
        <v>61</v>
      </c>
      <c r="C26" s="21" t="s">
        <v>65</v>
      </c>
      <c r="D26" s="21" t="s">
        <v>65</v>
      </c>
      <c r="E26" s="21" t="s">
        <v>65</v>
      </c>
      <c r="F26" s="21" t="s">
        <v>59</v>
      </c>
    </row>
    <row r="27" customFormat="false" ht="15" hidden="false" customHeight="false" outlineLevel="0" collapsed="false">
      <c r="A27" s="2" t="n">
        <v>23</v>
      </c>
      <c r="B27" s="21" t="s">
        <v>65</v>
      </c>
      <c r="C27" s="21" t="s">
        <v>66</v>
      </c>
      <c r="D27" s="21" t="s">
        <v>66</v>
      </c>
      <c r="E27" s="21" t="s">
        <v>63</v>
      </c>
      <c r="F27" s="21" t="s">
        <v>65</v>
      </c>
    </row>
    <row r="28" customFormat="false" ht="15" hidden="false" customHeight="false" outlineLevel="0" collapsed="false">
      <c r="A28" s="2" t="n">
        <v>24</v>
      </c>
      <c r="B28" s="21" t="s">
        <v>66</v>
      </c>
      <c r="C28" s="21" t="s">
        <v>67</v>
      </c>
      <c r="D28" s="21" t="s">
        <v>67</v>
      </c>
      <c r="E28" s="21" t="s">
        <v>67</v>
      </c>
      <c r="F28" s="21" t="s">
        <v>63</v>
      </c>
    </row>
    <row r="29" customFormat="false" ht="15" hidden="false" customHeight="false" outlineLevel="0" collapsed="false">
      <c r="A29" s="2" t="n">
        <v>25</v>
      </c>
      <c r="B29" s="21" t="s">
        <v>67</v>
      </c>
      <c r="C29" s="21" t="s">
        <v>68</v>
      </c>
      <c r="D29" s="21" t="s">
        <v>68</v>
      </c>
      <c r="E29" s="21" t="s">
        <v>57</v>
      </c>
      <c r="F29" s="21" t="s">
        <v>66</v>
      </c>
    </row>
    <row r="30" customFormat="false" ht="15" hidden="false" customHeight="false" outlineLevel="0" collapsed="false">
      <c r="A30" s="2" t="n">
        <v>26</v>
      </c>
      <c r="B30" s="21" t="s">
        <v>68</v>
      </c>
      <c r="C30" s="21" t="s">
        <v>63</v>
      </c>
      <c r="D30" s="21" t="s">
        <v>63</v>
      </c>
      <c r="E30" s="21" t="s">
        <v>68</v>
      </c>
      <c r="F30" s="21" t="s">
        <v>67</v>
      </c>
    </row>
    <row r="31" customFormat="false" ht="15" hidden="false" customHeight="false" outlineLevel="0" collapsed="false">
      <c r="A31" s="2" t="n">
        <v>27</v>
      </c>
      <c r="B31" s="21" t="s">
        <v>63</v>
      </c>
      <c r="C31" s="21" t="s">
        <v>61</v>
      </c>
      <c r="D31" s="21" t="s">
        <v>57</v>
      </c>
      <c r="E31" s="21" t="s">
        <v>65</v>
      </c>
      <c r="F31" s="21" t="s">
        <v>57</v>
      </c>
    </row>
    <row r="32" customFormat="false" ht="15" hidden="false" customHeight="false" outlineLevel="0" collapsed="false">
      <c r="A32" s="2" t="n">
        <v>28</v>
      </c>
      <c r="B32" s="21" t="s">
        <v>55</v>
      </c>
      <c r="C32" s="21" t="s">
        <v>57</v>
      </c>
      <c r="D32" s="21" t="s">
        <v>53</v>
      </c>
      <c r="E32" s="21" t="s">
        <v>66</v>
      </c>
      <c r="F32" s="21" t="s">
        <v>68</v>
      </c>
    </row>
    <row r="33" customFormat="false" ht="15" hidden="false" customHeight="false" outlineLevel="0" collapsed="false">
      <c r="A33" s="2" t="n">
        <v>29</v>
      </c>
      <c r="B33" s="21" t="s">
        <v>59</v>
      </c>
      <c r="C33" s="21" t="s">
        <v>59</v>
      </c>
      <c r="D33" s="21" t="s">
        <v>65</v>
      </c>
      <c r="E33" s="21" t="s">
        <v>53</v>
      </c>
      <c r="F33" s="21" t="s">
        <v>65</v>
      </c>
    </row>
    <row r="34" customFormat="false" ht="15" hidden="false" customHeight="false" outlineLevel="0" collapsed="false">
      <c r="A34" s="2" t="n">
        <v>30</v>
      </c>
      <c r="B34" s="21" t="s">
        <v>65</v>
      </c>
      <c r="C34" s="21" t="s">
        <v>65</v>
      </c>
      <c r="D34" s="21" t="s">
        <v>66</v>
      </c>
      <c r="E34" s="21" t="s">
        <v>63</v>
      </c>
      <c r="F34" s="21" t="s">
        <v>59</v>
      </c>
    </row>
    <row r="35" customFormat="false" ht="15" hidden="false" customHeight="false" outlineLevel="0" collapsed="false">
      <c r="A35" s="2" t="n">
        <v>31</v>
      </c>
      <c r="B35" s="21" t="s">
        <v>66</v>
      </c>
      <c r="C35" s="21" t="s">
        <v>66</v>
      </c>
      <c r="D35" s="21" t="s">
        <v>67</v>
      </c>
      <c r="E35" s="21" t="s">
        <v>67</v>
      </c>
      <c r="F35" s="21" t="s">
        <v>61</v>
      </c>
    </row>
    <row r="36" customFormat="false" ht="15" hidden="false" customHeight="false" outlineLevel="0" collapsed="false">
      <c r="A36" s="2" t="n">
        <v>32</v>
      </c>
      <c r="B36" s="21" t="s">
        <v>67</v>
      </c>
      <c r="C36" s="21" t="s">
        <v>67</v>
      </c>
      <c r="D36" s="21" t="s">
        <v>68</v>
      </c>
      <c r="E36" s="21" t="s">
        <v>65</v>
      </c>
      <c r="F36" s="21" t="s">
        <v>63</v>
      </c>
    </row>
    <row r="37" customFormat="false" ht="15" hidden="false" customHeight="false" outlineLevel="0" collapsed="false">
      <c r="A37" s="2" t="n">
        <v>33</v>
      </c>
      <c r="B37" s="21" t="s">
        <v>68</v>
      </c>
      <c r="C37" s="21" t="s">
        <v>68</v>
      </c>
      <c r="D37" s="21" t="s">
        <v>59</v>
      </c>
      <c r="E37" s="21" t="s">
        <v>57</v>
      </c>
      <c r="F37" s="21" t="s">
        <v>66</v>
      </c>
    </row>
    <row r="38" customFormat="false" ht="15" hidden="false" customHeight="false" outlineLevel="0" collapsed="false">
      <c r="A38" s="2" t="n">
        <v>34</v>
      </c>
      <c r="B38" s="21" t="s">
        <v>61</v>
      </c>
      <c r="C38" s="21" t="s">
        <v>53</v>
      </c>
      <c r="D38" s="21" t="s">
        <v>61</v>
      </c>
      <c r="E38" s="21" t="s">
        <v>59</v>
      </c>
      <c r="F38" s="21" t="s">
        <v>67</v>
      </c>
    </row>
    <row r="39" customFormat="false" ht="15" hidden="false" customHeight="false" outlineLevel="0" collapsed="false">
      <c r="A39" s="2" t="n">
        <v>35</v>
      </c>
      <c r="B39" s="21" t="s">
        <v>63</v>
      </c>
      <c r="C39" s="21" t="s">
        <v>61</v>
      </c>
      <c r="D39" s="21" t="s">
        <v>57</v>
      </c>
      <c r="E39" s="21" t="s">
        <v>68</v>
      </c>
    </row>
    <row r="40" customFormat="false" ht="15" hidden="false" customHeight="false" outlineLevel="0" collapsed="false">
      <c r="A40" s="2" t="n">
        <v>36</v>
      </c>
      <c r="B40" s="21" t="s">
        <v>57</v>
      </c>
      <c r="C40" s="21" t="s">
        <v>57</v>
      </c>
      <c r="D40" s="21" t="s">
        <v>63</v>
      </c>
    </row>
    <row r="41" customFormat="false" ht="15" hidden="false" customHeight="false" outlineLevel="0" collapsed="false">
      <c r="A41" s="2" t="n">
        <v>37</v>
      </c>
    </row>
    <row r="42" customFormat="false" ht="15" hidden="false" customHeight="false" outlineLevel="0" collapsed="false">
      <c r="A42" s="2" t="n">
        <v>38</v>
      </c>
    </row>
    <row r="43" customFormat="false" ht="15" hidden="false" customHeight="false" outlineLevel="0" collapsed="false">
      <c r="A43" s="2" t="n">
        <v>39</v>
      </c>
    </row>
    <row r="44" customFormat="false" ht="15" hidden="false" customHeight="false" outlineLevel="0" collapsed="false">
      <c r="A44" s="2" t="n">
        <v>40</v>
      </c>
    </row>
    <row r="45" customFormat="false" ht="15" hidden="false" customHeight="false" outlineLevel="0" collapsed="false">
      <c r="A45" s="2" t="n">
        <v>41</v>
      </c>
    </row>
    <row r="46" customFormat="false" ht="15" hidden="false" customHeight="false" outlineLevel="0" collapsed="false">
      <c r="A46" s="2" t="n">
        <v>42</v>
      </c>
    </row>
    <row r="47" customFormat="false" ht="15" hidden="false" customHeight="false" outlineLevel="0" collapsed="false">
      <c r="A47" s="2" t="n">
        <v>43</v>
      </c>
    </row>
    <row r="48" customFormat="false" ht="15" hidden="false" customHeight="false" outlineLevel="0" collapsed="false">
      <c r="A48" s="2" t="n">
        <v>44</v>
      </c>
    </row>
    <row r="49" customFormat="false" ht="15" hidden="false" customHeight="false" outlineLevel="0" collapsed="false">
      <c r="A49" s="2" t="n">
        <v>45</v>
      </c>
    </row>
    <row r="50" customFormat="false" ht="15" hidden="false" customHeight="false" outlineLevel="0" collapsed="false">
      <c r="A50" s="2" t="n">
        <v>46</v>
      </c>
    </row>
    <row r="51" customFormat="false" ht="15" hidden="false" customHeight="false" outlineLevel="0" collapsed="false">
      <c r="A51" s="2" t="n">
        <v>47</v>
      </c>
    </row>
    <row r="52" customFormat="false" ht="15" hidden="false" customHeight="false" outlineLevel="0" collapsed="false">
      <c r="A52" s="2" t="n">
        <v>48</v>
      </c>
    </row>
    <row r="53" customFormat="false" ht="15" hidden="false" customHeight="false" outlineLevel="0" collapsed="false">
      <c r="A53" s="2" t="n">
        <v>49</v>
      </c>
    </row>
    <row r="54" customFormat="false" ht="15" hidden="false" customHeight="false" outlineLevel="0" collapsed="false">
      <c r="A54" s="2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6" min="2" style="0" width="8"/>
    <col collapsed="false" customWidth="true" hidden="false" outlineLevel="0" max="9" min="9" style="0" width="14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I3" s="7" t="s">
        <v>86</v>
      </c>
      <c r="P3" s="7" t="s">
        <v>87</v>
      </c>
    </row>
    <row r="4" customFormat="false" ht="15" hidden="false" customHeight="false" outlineLevel="0" collapsed="false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I4" s="3" t="s">
        <v>48</v>
      </c>
      <c r="J4" s="3" t="s">
        <v>89</v>
      </c>
      <c r="K4" s="3" t="s">
        <v>90</v>
      </c>
      <c r="L4" s="3" t="s">
        <v>91</v>
      </c>
      <c r="M4" s="3" t="s">
        <v>92</v>
      </c>
      <c r="N4" s="3" t="s">
        <v>93</v>
      </c>
      <c r="P4" s="3" t="s">
        <v>48</v>
      </c>
      <c r="Q4" s="3" t="s">
        <v>89</v>
      </c>
      <c r="R4" s="3" t="s">
        <v>90</v>
      </c>
      <c r="S4" s="3" t="s">
        <v>91</v>
      </c>
      <c r="T4" s="3" t="s">
        <v>92</v>
      </c>
      <c r="U4" s="3" t="s">
        <v>93</v>
      </c>
    </row>
    <row r="5" customFormat="false" ht="15" hidden="false" customHeight="false" outlineLevel="0" collapsed="false">
      <c r="A5" s="2" t="n">
        <v>1</v>
      </c>
      <c r="B5" s="21" t="s">
        <v>57</v>
      </c>
      <c r="C5" s="21" t="s">
        <v>53</v>
      </c>
      <c r="D5" s="21" t="s">
        <v>53</v>
      </c>
      <c r="E5" s="21" t="s">
        <v>53</v>
      </c>
      <c r="F5" s="21" t="s">
        <v>65</v>
      </c>
      <c r="I5" s="7" t="s">
        <v>53</v>
      </c>
      <c r="J5" s="2" t="n">
        <f aca="false">COUNTIF(B$5:B$54,$I5)</f>
        <v>0</v>
      </c>
      <c r="K5" s="2" t="n">
        <f aca="false">COUNTIF(C$5:C$54,$I5)</f>
        <v>4</v>
      </c>
      <c r="L5" s="2" t="n">
        <f aca="false">COUNTIF(D$5:D$54,$I5)</f>
        <v>4</v>
      </c>
      <c r="M5" s="2" t="n">
        <f aca="false">COUNTIF(E$5:E$54,$I5)</f>
        <v>4</v>
      </c>
      <c r="N5" s="2" t="n">
        <f aca="false">COUNTIF(F$5:F$54,$I5)</f>
        <v>0</v>
      </c>
      <c r="P5" s="7" t="s">
        <v>53</v>
      </c>
      <c r="Q5" s="22" t="n">
        <f aca="false">J5/J$15</f>
        <v>0</v>
      </c>
      <c r="R5" s="22" t="n">
        <f aca="false">K5/K$15</f>
        <v>0.142857142857143</v>
      </c>
      <c r="S5" s="22" t="n">
        <f aca="false">L5/L$15</f>
        <v>0.142857142857143</v>
      </c>
      <c r="T5" s="22" t="n">
        <f aca="false">M5/M$15</f>
        <v>0.142857142857143</v>
      </c>
      <c r="U5" s="22" t="n">
        <f aca="false">N5/N$15</f>
        <v>0</v>
      </c>
    </row>
    <row r="6" customFormat="false" ht="15" hidden="false" customHeight="false" outlineLevel="0" collapsed="false">
      <c r="A6" s="2" t="n">
        <v>2</v>
      </c>
      <c r="B6" s="21" t="s">
        <v>59</v>
      </c>
      <c r="C6" s="21" t="s">
        <v>61</v>
      </c>
      <c r="D6" s="21" t="s">
        <v>65</v>
      </c>
      <c r="E6" s="21" t="s">
        <v>67</v>
      </c>
      <c r="F6" s="21" t="s">
        <v>66</v>
      </c>
      <c r="I6" s="7" t="s">
        <v>55</v>
      </c>
      <c r="J6" s="2" t="n">
        <f aca="false">COUNTIF(B$5:B$54,$I6)</f>
        <v>1</v>
      </c>
      <c r="K6" s="2" t="n">
        <f aca="false">COUNTIF(C$5:C$54,$I6)</f>
        <v>1</v>
      </c>
      <c r="L6" s="2" t="n">
        <f aca="false">COUNTIF(D$5:D$54,$I6)</f>
        <v>1</v>
      </c>
      <c r="M6" s="2" t="n">
        <f aca="false">COUNTIF(E$5:E$54,$I6)</f>
        <v>1</v>
      </c>
      <c r="N6" s="2" t="n">
        <f aca="false">COUNTIF(F$5:F$54,$I6)</f>
        <v>1</v>
      </c>
      <c r="P6" s="7" t="s">
        <v>55</v>
      </c>
      <c r="Q6" s="22" t="n">
        <f aca="false">J6/J$15</f>
        <v>0.0416666666666667</v>
      </c>
      <c r="R6" s="22" t="n">
        <f aca="false">K6/K$15</f>
        <v>0.0357142857142857</v>
      </c>
      <c r="S6" s="22" t="n">
        <f aca="false">L6/L$15</f>
        <v>0.0357142857142857</v>
      </c>
      <c r="T6" s="22" t="n">
        <f aca="false">M6/M$15</f>
        <v>0.0357142857142857</v>
      </c>
      <c r="U6" s="22" t="n">
        <f aca="false">N6/N$15</f>
        <v>0.0416666666666667</v>
      </c>
    </row>
    <row r="7" customFormat="false" ht="15" hidden="false" customHeight="false" outlineLevel="0" collapsed="false">
      <c r="A7" s="2" t="n">
        <v>3</v>
      </c>
      <c r="B7" s="21" t="s">
        <v>61</v>
      </c>
      <c r="C7" s="21" t="s">
        <v>63</v>
      </c>
      <c r="D7" s="21" t="s">
        <v>66</v>
      </c>
      <c r="E7" s="21" t="s">
        <v>68</v>
      </c>
      <c r="F7" s="21" t="s">
        <v>67</v>
      </c>
      <c r="I7" s="7" t="s">
        <v>57</v>
      </c>
      <c r="J7" s="2" t="n">
        <f aca="false">COUNTIF(B$5:B$54,$I7)</f>
        <v>3</v>
      </c>
      <c r="K7" s="2" t="n">
        <f aca="false">COUNTIF(C$5:C$54,$I7)</f>
        <v>3</v>
      </c>
      <c r="L7" s="2" t="n">
        <f aca="false">COUNTIF(D$5:D$54,$I7)</f>
        <v>3</v>
      </c>
      <c r="M7" s="2" t="n">
        <f aca="false">COUNTIF(E$5:E$54,$I7)</f>
        <v>3</v>
      </c>
      <c r="N7" s="2" t="n">
        <f aca="false">COUNTIF(F$5:F$54,$I7)</f>
        <v>3</v>
      </c>
      <c r="P7" s="7" t="s">
        <v>57</v>
      </c>
      <c r="Q7" s="22" t="n">
        <f aca="false">J7/J$15</f>
        <v>0.125</v>
      </c>
      <c r="R7" s="22" t="n">
        <f aca="false">K7/K$15</f>
        <v>0.107142857142857</v>
      </c>
      <c r="S7" s="22" t="n">
        <f aca="false">L7/L$15</f>
        <v>0.107142857142857</v>
      </c>
      <c r="T7" s="22" t="n">
        <f aca="false">M7/M$15</f>
        <v>0.107142857142857</v>
      </c>
      <c r="U7" s="22" t="n">
        <f aca="false">N7/N$15</f>
        <v>0.125</v>
      </c>
    </row>
    <row r="8" customFormat="false" ht="15" hidden="false" customHeight="false" outlineLevel="0" collapsed="false">
      <c r="A8" s="2" t="n">
        <v>4</v>
      </c>
      <c r="B8" s="21" t="s">
        <v>63</v>
      </c>
      <c r="C8" s="21" t="s">
        <v>65</v>
      </c>
      <c r="D8" s="21" t="s">
        <v>67</v>
      </c>
      <c r="E8" s="21" t="s">
        <v>57</v>
      </c>
      <c r="F8" s="21" t="s">
        <v>68</v>
      </c>
      <c r="I8" s="7" t="s">
        <v>59</v>
      </c>
      <c r="J8" s="2" t="n">
        <f aca="false">COUNTIF(B$5:B$54,$I8)</f>
        <v>3</v>
      </c>
      <c r="K8" s="2" t="n">
        <f aca="false">COUNTIF(C$5:C$54,$I8)</f>
        <v>3</v>
      </c>
      <c r="L8" s="2" t="n">
        <f aca="false">COUNTIF(D$5:D$54,$I8)</f>
        <v>3</v>
      </c>
      <c r="M8" s="2" t="n">
        <f aca="false">COUNTIF(E$5:E$54,$I8)</f>
        <v>3</v>
      </c>
      <c r="N8" s="2" t="n">
        <f aca="false">COUNTIF(F$5:F$54,$I8)</f>
        <v>3</v>
      </c>
      <c r="P8" s="7" t="s">
        <v>59</v>
      </c>
      <c r="Q8" s="22" t="n">
        <f aca="false">J8/J$15</f>
        <v>0.125</v>
      </c>
      <c r="R8" s="22" t="n">
        <f aca="false">K8/K$15</f>
        <v>0.107142857142857</v>
      </c>
      <c r="S8" s="22" t="n">
        <f aca="false">L8/L$15</f>
        <v>0.107142857142857</v>
      </c>
      <c r="T8" s="22" t="n">
        <f aca="false">M8/M$15</f>
        <v>0.107142857142857</v>
      </c>
      <c r="U8" s="22" t="n">
        <f aca="false">N8/N$15</f>
        <v>0.125</v>
      </c>
    </row>
    <row r="9" customFormat="false" ht="15" hidden="false" customHeight="false" outlineLevel="0" collapsed="false">
      <c r="A9" s="2" t="n">
        <v>5</v>
      </c>
      <c r="B9" s="21" t="s">
        <v>65</v>
      </c>
      <c r="C9" s="21" t="s">
        <v>66</v>
      </c>
      <c r="D9" s="21" t="s">
        <v>55</v>
      </c>
      <c r="E9" s="21" t="s">
        <v>59</v>
      </c>
      <c r="F9" s="21" t="s">
        <v>57</v>
      </c>
      <c r="I9" s="7" t="s">
        <v>61</v>
      </c>
      <c r="J9" s="2" t="n">
        <f aca="false">COUNTIF(B$5:B$54,$I9)</f>
        <v>3</v>
      </c>
      <c r="K9" s="2" t="n">
        <f aca="false">COUNTIF(C$5:C$54,$I9)</f>
        <v>3</v>
      </c>
      <c r="L9" s="2" t="n">
        <f aca="false">COUNTIF(D$5:D$54,$I9)</f>
        <v>3</v>
      </c>
      <c r="M9" s="2" t="n">
        <f aca="false">COUNTIF(E$5:E$54,$I9)</f>
        <v>3</v>
      </c>
      <c r="N9" s="2" t="n">
        <f aca="false">COUNTIF(F$5:F$54,$I9)</f>
        <v>3</v>
      </c>
      <c r="P9" s="7" t="s">
        <v>61</v>
      </c>
      <c r="Q9" s="22" t="n">
        <f aca="false">J9/J$15</f>
        <v>0.125</v>
      </c>
      <c r="R9" s="22" t="n">
        <f aca="false">K9/K$15</f>
        <v>0.107142857142857</v>
      </c>
      <c r="S9" s="22" t="n">
        <f aca="false">L9/L$15</f>
        <v>0.107142857142857</v>
      </c>
      <c r="T9" s="22" t="n">
        <f aca="false">M9/M$15</f>
        <v>0.107142857142857</v>
      </c>
      <c r="U9" s="22" t="n">
        <f aca="false">N9/N$15</f>
        <v>0.125</v>
      </c>
    </row>
    <row r="10" customFormat="false" ht="15" hidden="false" customHeight="false" outlineLevel="0" collapsed="false">
      <c r="A10" s="2" t="n">
        <v>6</v>
      </c>
      <c r="B10" s="21" t="s">
        <v>66</v>
      </c>
      <c r="C10" s="21" t="s">
        <v>67</v>
      </c>
      <c r="D10" s="21" t="s">
        <v>57</v>
      </c>
      <c r="E10" s="21" t="s">
        <v>61</v>
      </c>
      <c r="F10" s="21" t="s">
        <v>59</v>
      </c>
      <c r="I10" s="7" t="s">
        <v>63</v>
      </c>
      <c r="J10" s="2" t="n">
        <f aca="false">COUNTIF(B$5:B$54,$I10)</f>
        <v>3</v>
      </c>
      <c r="K10" s="2" t="n">
        <f aca="false">COUNTIF(C$5:C$54,$I10)</f>
        <v>3</v>
      </c>
      <c r="L10" s="2" t="n">
        <f aca="false">COUNTIF(D$5:D$54,$I10)</f>
        <v>3</v>
      </c>
      <c r="M10" s="2" t="n">
        <f aca="false">COUNTIF(E$5:E$54,$I10)</f>
        <v>3</v>
      </c>
      <c r="N10" s="2" t="n">
        <f aca="false">COUNTIF(F$5:F$54,$I10)</f>
        <v>3</v>
      </c>
      <c r="P10" s="7" t="s">
        <v>63</v>
      </c>
      <c r="Q10" s="22" t="n">
        <f aca="false">J10/J$15</f>
        <v>0.125</v>
      </c>
      <c r="R10" s="22" t="n">
        <f aca="false">K10/K$15</f>
        <v>0.107142857142857</v>
      </c>
      <c r="S10" s="22" t="n">
        <f aca="false">L10/L$15</f>
        <v>0.107142857142857</v>
      </c>
      <c r="T10" s="22" t="n">
        <f aca="false">M10/M$15</f>
        <v>0.107142857142857</v>
      </c>
      <c r="U10" s="22" t="n">
        <f aca="false">N10/N$15</f>
        <v>0.125</v>
      </c>
    </row>
    <row r="11" customFormat="false" ht="15" hidden="false" customHeight="false" outlineLevel="0" collapsed="false">
      <c r="A11" s="2" t="n">
        <v>7</v>
      </c>
      <c r="B11" s="21" t="s">
        <v>67</v>
      </c>
      <c r="C11" s="21" t="s">
        <v>68</v>
      </c>
      <c r="D11" s="21" t="s">
        <v>59</v>
      </c>
      <c r="E11" s="21" t="s">
        <v>63</v>
      </c>
      <c r="F11" s="21" t="s">
        <v>61</v>
      </c>
      <c r="I11" s="7" t="s">
        <v>65</v>
      </c>
      <c r="J11" s="2" t="n">
        <f aca="false">COUNTIF(B$5:B$54,$I11)</f>
        <v>3</v>
      </c>
      <c r="K11" s="2" t="n">
        <f aca="false">COUNTIF(C$5:C$54,$I11)</f>
        <v>3</v>
      </c>
      <c r="L11" s="2" t="n">
        <f aca="false">COUNTIF(D$5:D$54,$I11)</f>
        <v>3</v>
      </c>
      <c r="M11" s="2" t="n">
        <f aca="false">COUNTIF(E$5:E$54,$I11)</f>
        <v>3</v>
      </c>
      <c r="N11" s="2" t="n">
        <f aca="false">COUNTIF(F$5:F$54,$I11)</f>
        <v>3</v>
      </c>
      <c r="P11" s="7" t="s">
        <v>65</v>
      </c>
      <c r="Q11" s="22" t="n">
        <f aca="false">J11/J$15</f>
        <v>0.125</v>
      </c>
      <c r="R11" s="22" t="n">
        <f aca="false">K11/K$15</f>
        <v>0.107142857142857</v>
      </c>
      <c r="S11" s="22" t="n">
        <f aca="false">L11/L$15</f>
        <v>0.107142857142857</v>
      </c>
      <c r="T11" s="22" t="n">
        <f aca="false">M11/M$15</f>
        <v>0.107142857142857</v>
      </c>
      <c r="U11" s="22" t="n">
        <f aca="false">N11/N$15</f>
        <v>0.125</v>
      </c>
    </row>
    <row r="12" customFormat="false" ht="15" hidden="false" customHeight="false" outlineLevel="0" collapsed="false">
      <c r="A12" s="2" t="n">
        <v>8</v>
      </c>
      <c r="B12" s="21" t="s">
        <v>68</v>
      </c>
      <c r="C12" s="21" t="s">
        <v>53</v>
      </c>
      <c r="D12" s="21" t="s">
        <v>53</v>
      </c>
      <c r="E12" s="21" t="s">
        <v>53</v>
      </c>
      <c r="F12" s="21" t="s">
        <v>63</v>
      </c>
      <c r="I12" s="7" t="s">
        <v>66</v>
      </c>
      <c r="J12" s="2" t="n">
        <f aca="false">COUNTIF(B$5:B$54,$I12)</f>
        <v>3</v>
      </c>
      <c r="K12" s="2" t="n">
        <f aca="false">COUNTIF(C$5:C$54,$I12)</f>
        <v>3</v>
      </c>
      <c r="L12" s="2" t="n">
        <f aca="false">COUNTIF(D$5:D$54,$I12)</f>
        <v>3</v>
      </c>
      <c r="M12" s="2" t="n">
        <f aca="false">COUNTIF(E$5:E$54,$I12)</f>
        <v>3</v>
      </c>
      <c r="N12" s="2" t="n">
        <f aca="false">COUNTIF(F$5:F$54,$I12)</f>
        <v>3</v>
      </c>
      <c r="P12" s="7" t="s">
        <v>66</v>
      </c>
      <c r="Q12" s="22" t="n">
        <f aca="false">J12/J$15</f>
        <v>0.125</v>
      </c>
      <c r="R12" s="22" t="n">
        <f aca="false">K12/K$15</f>
        <v>0.107142857142857</v>
      </c>
      <c r="S12" s="22" t="n">
        <f aca="false">L12/L$15</f>
        <v>0.107142857142857</v>
      </c>
      <c r="T12" s="22" t="n">
        <f aca="false">M12/M$15</f>
        <v>0.107142857142857</v>
      </c>
      <c r="U12" s="22" t="n">
        <f aca="false">N12/N$15</f>
        <v>0.125</v>
      </c>
    </row>
    <row r="13" customFormat="false" ht="15" hidden="false" customHeight="false" outlineLevel="0" collapsed="false">
      <c r="A13" s="2" t="n">
        <v>9</v>
      </c>
      <c r="B13" s="21" t="s">
        <v>57</v>
      </c>
      <c r="C13" s="21" t="s">
        <v>57</v>
      </c>
      <c r="D13" s="21" t="s">
        <v>61</v>
      </c>
      <c r="E13" s="21" t="s">
        <v>65</v>
      </c>
      <c r="F13" s="21" t="s">
        <v>65</v>
      </c>
      <c r="I13" s="7" t="s">
        <v>67</v>
      </c>
      <c r="J13" s="2" t="n">
        <f aca="false">COUNTIF(B$5:B$54,$I13)</f>
        <v>3</v>
      </c>
      <c r="K13" s="2" t="n">
        <f aca="false">COUNTIF(C$5:C$54,$I13)</f>
        <v>3</v>
      </c>
      <c r="L13" s="2" t="n">
        <f aca="false">COUNTIF(D$5:D$54,$I13)</f>
        <v>3</v>
      </c>
      <c r="M13" s="2" t="n">
        <f aca="false">COUNTIF(E$5:E$54,$I13)</f>
        <v>3</v>
      </c>
      <c r="N13" s="2" t="n">
        <f aca="false">COUNTIF(F$5:F$54,$I13)</f>
        <v>3</v>
      </c>
      <c r="P13" s="7" t="s">
        <v>67</v>
      </c>
      <c r="Q13" s="22" t="n">
        <f aca="false">J13/J$15</f>
        <v>0.125</v>
      </c>
      <c r="R13" s="22" t="n">
        <f aca="false">K13/K$15</f>
        <v>0.107142857142857</v>
      </c>
      <c r="S13" s="22" t="n">
        <f aca="false">L13/L$15</f>
        <v>0.107142857142857</v>
      </c>
      <c r="T13" s="22" t="n">
        <f aca="false">M13/M$15</f>
        <v>0.107142857142857</v>
      </c>
      <c r="U13" s="22" t="n">
        <f aca="false">N13/N$15</f>
        <v>0.125</v>
      </c>
    </row>
    <row r="14" customFormat="false" ht="15" hidden="false" customHeight="false" outlineLevel="0" collapsed="false">
      <c r="A14" s="2" t="n">
        <v>10</v>
      </c>
      <c r="B14" s="21" t="s">
        <v>59</v>
      </c>
      <c r="C14" s="21" t="s">
        <v>59</v>
      </c>
      <c r="D14" s="21" t="s">
        <v>63</v>
      </c>
      <c r="E14" s="21" t="s">
        <v>66</v>
      </c>
      <c r="F14" s="21" t="s">
        <v>66</v>
      </c>
      <c r="I14" s="7" t="s">
        <v>68</v>
      </c>
      <c r="J14" s="2" t="n">
        <f aca="false">COUNTIF(B$5:B$54,$I14)</f>
        <v>2</v>
      </c>
      <c r="K14" s="2" t="n">
        <f aca="false">COUNTIF(C$5:C$54,$I14)</f>
        <v>2</v>
      </c>
      <c r="L14" s="2" t="n">
        <f aca="false">COUNTIF(D$5:D$54,$I14)</f>
        <v>2</v>
      </c>
      <c r="M14" s="2" t="n">
        <f aca="false">COUNTIF(E$5:E$54,$I14)</f>
        <v>2</v>
      </c>
      <c r="N14" s="2" t="n">
        <f aca="false">COUNTIF(F$5:F$54,$I14)</f>
        <v>2</v>
      </c>
      <c r="P14" s="7" t="s">
        <v>68</v>
      </c>
      <c r="Q14" s="22" t="n">
        <f aca="false">J14/J$15</f>
        <v>0.0833333333333333</v>
      </c>
      <c r="R14" s="22" t="n">
        <f aca="false">K14/K$15</f>
        <v>0.0714285714285714</v>
      </c>
      <c r="S14" s="22" t="n">
        <f aca="false">L14/L$15</f>
        <v>0.0714285714285714</v>
      </c>
      <c r="T14" s="22" t="n">
        <f aca="false">M14/M$15</f>
        <v>0.0714285714285714</v>
      </c>
      <c r="U14" s="22" t="n">
        <f aca="false">N14/N$15</f>
        <v>0.0833333333333333</v>
      </c>
    </row>
    <row r="15" customFormat="false" ht="15" hidden="false" customHeight="false" outlineLevel="0" collapsed="false">
      <c r="A15" s="2" t="n">
        <v>11</v>
      </c>
      <c r="B15" s="21" t="s">
        <v>61</v>
      </c>
      <c r="C15" s="21" t="s">
        <v>61</v>
      </c>
      <c r="D15" s="21" t="s">
        <v>65</v>
      </c>
      <c r="E15" s="21" t="s">
        <v>67</v>
      </c>
      <c r="F15" s="21" t="s">
        <v>67</v>
      </c>
      <c r="I15" s="7" t="s">
        <v>94</v>
      </c>
      <c r="J15" s="7" t="n">
        <f aca="false">COUNTA(B$5:B$54)</f>
        <v>24</v>
      </c>
      <c r="K15" s="7" t="n">
        <f aca="false">COUNTA(C$5:C$54)</f>
        <v>28</v>
      </c>
      <c r="L15" s="7" t="n">
        <f aca="false">COUNTA(D$5:D$54)</f>
        <v>28</v>
      </c>
      <c r="M15" s="7" t="n">
        <f aca="false">COUNTA(E$5:E$54)</f>
        <v>28</v>
      </c>
      <c r="N15" s="7" t="n">
        <f aca="false">COUNTA(F$5:F$54)</f>
        <v>24</v>
      </c>
      <c r="P15" s="7" t="s">
        <v>95</v>
      </c>
      <c r="Q15" s="23" t="n">
        <f aca="false">SUM(Q5:Q14)</f>
        <v>1</v>
      </c>
      <c r="R15" s="23" t="n">
        <f aca="false">SUM(R5:R14)</f>
        <v>1</v>
      </c>
      <c r="S15" s="23" t="n">
        <f aca="false">SUM(S5:S14)</f>
        <v>1</v>
      </c>
      <c r="T15" s="23" t="n">
        <f aca="false">SUM(T5:T14)</f>
        <v>1</v>
      </c>
      <c r="U15" s="23" t="n">
        <f aca="false">SUM(U5:U14)</f>
        <v>1</v>
      </c>
    </row>
    <row r="16" customFormat="false" ht="15" hidden="false" customHeight="false" outlineLevel="0" collapsed="false">
      <c r="A16" s="2" t="n">
        <v>12</v>
      </c>
      <c r="B16" s="21" t="s">
        <v>63</v>
      </c>
      <c r="C16" s="21" t="s">
        <v>63</v>
      </c>
      <c r="D16" s="21" t="s">
        <v>66</v>
      </c>
      <c r="E16" s="21" t="s">
        <v>55</v>
      </c>
      <c r="F16" s="21" t="s">
        <v>68</v>
      </c>
    </row>
    <row r="17" customFormat="false" ht="15" hidden="false" customHeight="false" outlineLevel="0" collapsed="false">
      <c r="A17" s="2" t="n">
        <v>13</v>
      </c>
      <c r="B17" s="21" t="s">
        <v>65</v>
      </c>
      <c r="C17" s="21" t="s">
        <v>65</v>
      </c>
      <c r="D17" s="21" t="s">
        <v>67</v>
      </c>
      <c r="E17" s="21" t="s">
        <v>57</v>
      </c>
      <c r="F17" s="21" t="s">
        <v>57</v>
      </c>
    </row>
    <row r="18" customFormat="false" ht="15" hidden="false" customHeight="false" outlineLevel="0" collapsed="false">
      <c r="A18" s="2" t="n">
        <v>14</v>
      </c>
      <c r="B18" s="21" t="s">
        <v>66</v>
      </c>
      <c r="C18" s="21" t="s">
        <v>66</v>
      </c>
      <c r="D18" s="21" t="s">
        <v>68</v>
      </c>
      <c r="E18" s="21" t="s">
        <v>59</v>
      </c>
      <c r="F18" s="21" t="s">
        <v>59</v>
      </c>
    </row>
    <row r="19" customFormat="false" ht="15" hidden="false" customHeight="false" outlineLevel="0" collapsed="false">
      <c r="A19" s="2" t="n">
        <v>15</v>
      </c>
      <c r="B19" s="21" t="s">
        <v>67</v>
      </c>
      <c r="C19" s="21" t="s">
        <v>53</v>
      </c>
      <c r="D19" s="21" t="s">
        <v>53</v>
      </c>
      <c r="E19" s="21" t="s">
        <v>53</v>
      </c>
      <c r="F19" s="21" t="s">
        <v>61</v>
      </c>
    </row>
    <row r="20" customFormat="false" ht="15" hidden="false" customHeight="false" outlineLevel="0" collapsed="false">
      <c r="A20" s="2" t="n">
        <v>16</v>
      </c>
      <c r="B20" s="21" t="s">
        <v>55</v>
      </c>
      <c r="C20" s="21" t="s">
        <v>67</v>
      </c>
      <c r="D20" s="21" t="s">
        <v>57</v>
      </c>
      <c r="E20" s="21" t="s">
        <v>61</v>
      </c>
      <c r="F20" s="21" t="s">
        <v>63</v>
      </c>
    </row>
    <row r="21" customFormat="false" ht="15" hidden="false" customHeight="false" outlineLevel="0" collapsed="false">
      <c r="A21" s="2" t="n">
        <v>17</v>
      </c>
      <c r="B21" s="21" t="s">
        <v>57</v>
      </c>
      <c r="C21" s="21" t="s">
        <v>68</v>
      </c>
      <c r="D21" s="21" t="s">
        <v>59</v>
      </c>
      <c r="E21" s="21" t="s">
        <v>63</v>
      </c>
      <c r="F21" s="21" t="s">
        <v>65</v>
      </c>
    </row>
    <row r="22" customFormat="false" ht="15" hidden="false" customHeight="false" outlineLevel="0" collapsed="false">
      <c r="A22" s="2" t="n">
        <v>18</v>
      </c>
      <c r="B22" s="21" t="s">
        <v>59</v>
      </c>
      <c r="C22" s="21" t="s">
        <v>57</v>
      </c>
      <c r="D22" s="21" t="s">
        <v>61</v>
      </c>
      <c r="E22" s="21" t="s">
        <v>65</v>
      </c>
      <c r="F22" s="21" t="s">
        <v>66</v>
      </c>
    </row>
    <row r="23" customFormat="false" ht="15" hidden="false" customHeight="false" outlineLevel="0" collapsed="false">
      <c r="A23" s="2" t="n">
        <v>19</v>
      </c>
      <c r="B23" s="21" t="s">
        <v>61</v>
      </c>
      <c r="C23" s="21" t="s">
        <v>59</v>
      </c>
      <c r="D23" s="21" t="s">
        <v>63</v>
      </c>
      <c r="E23" s="21" t="s">
        <v>66</v>
      </c>
      <c r="F23" s="21" t="s">
        <v>67</v>
      </c>
    </row>
    <row r="24" customFormat="false" ht="15" hidden="false" customHeight="false" outlineLevel="0" collapsed="false">
      <c r="A24" s="2" t="n">
        <v>20</v>
      </c>
      <c r="B24" s="21" t="s">
        <v>63</v>
      </c>
      <c r="C24" s="21" t="s">
        <v>61</v>
      </c>
      <c r="D24" s="21" t="s">
        <v>65</v>
      </c>
      <c r="E24" s="21" t="s">
        <v>67</v>
      </c>
      <c r="F24" s="21" t="s">
        <v>55</v>
      </c>
    </row>
    <row r="25" customFormat="false" ht="15" hidden="false" customHeight="false" outlineLevel="0" collapsed="false">
      <c r="A25" s="2" t="n">
        <v>21</v>
      </c>
      <c r="B25" s="21" t="s">
        <v>65</v>
      </c>
      <c r="C25" s="21" t="s">
        <v>63</v>
      </c>
      <c r="D25" s="21" t="s">
        <v>66</v>
      </c>
      <c r="E25" s="21" t="s">
        <v>68</v>
      </c>
      <c r="F25" s="21" t="s">
        <v>57</v>
      </c>
    </row>
    <row r="26" customFormat="false" ht="15" hidden="false" customHeight="false" outlineLevel="0" collapsed="false">
      <c r="A26" s="2" t="n">
        <v>22</v>
      </c>
      <c r="B26" s="21" t="s">
        <v>66</v>
      </c>
      <c r="C26" s="21" t="s">
        <v>53</v>
      </c>
      <c r="D26" s="21" t="s">
        <v>53</v>
      </c>
      <c r="E26" s="21" t="s">
        <v>53</v>
      </c>
      <c r="F26" s="21" t="s">
        <v>59</v>
      </c>
    </row>
    <row r="27" customFormat="false" ht="15" hidden="false" customHeight="false" outlineLevel="0" collapsed="false">
      <c r="A27" s="2" t="n">
        <v>23</v>
      </c>
      <c r="B27" s="21" t="s">
        <v>67</v>
      </c>
      <c r="C27" s="21" t="s">
        <v>65</v>
      </c>
      <c r="D27" s="21" t="s">
        <v>67</v>
      </c>
      <c r="E27" s="21" t="s">
        <v>57</v>
      </c>
      <c r="F27" s="21" t="s">
        <v>61</v>
      </c>
    </row>
    <row r="28" customFormat="false" ht="15" hidden="false" customHeight="false" outlineLevel="0" collapsed="false">
      <c r="A28" s="2" t="n">
        <v>24</v>
      </c>
      <c r="B28" s="21" t="s">
        <v>68</v>
      </c>
      <c r="C28" s="21" t="s">
        <v>66</v>
      </c>
      <c r="D28" s="21" t="s">
        <v>68</v>
      </c>
      <c r="E28" s="21" t="s">
        <v>59</v>
      </c>
      <c r="F28" s="21" t="s">
        <v>63</v>
      </c>
    </row>
    <row r="29" customFormat="false" ht="15" hidden="false" customHeight="false" outlineLevel="0" collapsed="false">
      <c r="A29" s="2" t="n">
        <v>25</v>
      </c>
      <c r="C29" s="21" t="s">
        <v>67</v>
      </c>
      <c r="D29" s="21" t="s">
        <v>57</v>
      </c>
      <c r="E29" s="21" t="s">
        <v>61</v>
      </c>
    </row>
    <row r="30" customFormat="false" ht="15" hidden="false" customHeight="false" outlineLevel="0" collapsed="false">
      <c r="A30" s="2" t="n">
        <v>26</v>
      </c>
      <c r="C30" s="21" t="s">
        <v>55</v>
      </c>
      <c r="D30" s="21" t="s">
        <v>59</v>
      </c>
      <c r="E30" s="21" t="s">
        <v>63</v>
      </c>
    </row>
    <row r="31" customFormat="false" ht="15" hidden="false" customHeight="false" outlineLevel="0" collapsed="false">
      <c r="A31" s="2" t="n">
        <v>27</v>
      </c>
      <c r="C31" s="21" t="s">
        <v>57</v>
      </c>
      <c r="D31" s="21" t="s">
        <v>61</v>
      </c>
      <c r="E31" s="21" t="s">
        <v>65</v>
      </c>
    </row>
    <row r="32" customFormat="false" ht="15" hidden="false" customHeight="false" outlineLevel="0" collapsed="false">
      <c r="A32" s="2" t="n">
        <v>28</v>
      </c>
      <c r="C32" s="21" t="s">
        <v>59</v>
      </c>
      <c r="D32" s="21" t="s">
        <v>63</v>
      </c>
      <c r="E32" s="21" t="s">
        <v>66</v>
      </c>
    </row>
    <row r="33" customFormat="false" ht="15" hidden="false" customHeight="false" outlineLevel="0" collapsed="false">
      <c r="A33" s="2" t="n">
        <v>29</v>
      </c>
    </row>
    <row r="34" customFormat="false" ht="15" hidden="false" customHeight="false" outlineLevel="0" collapsed="false">
      <c r="A34" s="2" t="n">
        <v>30</v>
      </c>
    </row>
    <row r="35" customFormat="false" ht="15" hidden="false" customHeight="false" outlineLevel="0" collapsed="false">
      <c r="A35" s="2" t="n">
        <v>31</v>
      </c>
    </row>
    <row r="36" customFormat="false" ht="15" hidden="false" customHeight="false" outlineLevel="0" collapsed="false">
      <c r="A36" s="2" t="n">
        <v>32</v>
      </c>
    </row>
    <row r="37" customFormat="false" ht="15" hidden="false" customHeight="false" outlineLevel="0" collapsed="false">
      <c r="A37" s="2" t="n">
        <v>33</v>
      </c>
    </row>
    <row r="38" customFormat="false" ht="15" hidden="false" customHeight="false" outlineLevel="0" collapsed="false">
      <c r="A38" s="2" t="n">
        <v>34</v>
      </c>
    </row>
    <row r="39" customFormat="false" ht="15" hidden="false" customHeight="false" outlineLevel="0" collapsed="false">
      <c r="A39" s="2" t="n">
        <v>35</v>
      </c>
    </row>
    <row r="40" customFormat="false" ht="15" hidden="false" customHeight="false" outlineLevel="0" collapsed="false">
      <c r="A40" s="2" t="n">
        <v>36</v>
      </c>
    </row>
    <row r="41" customFormat="false" ht="15" hidden="false" customHeight="false" outlineLevel="0" collapsed="false">
      <c r="A41" s="2" t="n">
        <v>37</v>
      </c>
    </row>
    <row r="42" customFormat="false" ht="15" hidden="false" customHeight="false" outlineLevel="0" collapsed="false">
      <c r="A42" s="2" t="n">
        <v>38</v>
      </c>
    </row>
    <row r="43" customFormat="false" ht="15" hidden="false" customHeight="false" outlineLevel="0" collapsed="false">
      <c r="A43" s="2" t="n">
        <v>39</v>
      </c>
    </row>
    <row r="44" customFormat="false" ht="15" hidden="false" customHeight="false" outlineLevel="0" collapsed="false">
      <c r="A44" s="2" t="n">
        <v>40</v>
      </c>
    </row>
    <row r="45" customFormat="false" ht="15" hidden="false" customHeight="false" outlineLevel="0" collapsed="false">
      <c r="A45" s="2" t="n">
        <v>41</v>
      </c>
    </row>
    <row r="46" customFormat="false" ht="15" hidden="false" customHeight="false" outlineLevel="0" collapsed="false">
      <c r="A46" s="2" t="n">
        <v>42</v>
      </c>
    </row>
    <row r="47" customFormat="false" ht="15" hidden="false" customHeight="false" outlineLevel="0" collapsed="false">
      <c r="A47" s="2" t="n">
        <v>43</v>
      </c>
    </row>
    <row r="48" customFormat="false" ht="15" hidden="false" customHeight="false" outlineLevel="0" collapsed="false">
      <c r="A48" s="2" t="n">
        <v>44</v>
      </c>
    </row>
    <row r="49" customFormat="false" ht="15" hidden="false" customHeight="false" outlineLevel="0" collapsed="false">
      <c r="A49" s="2" t="n">
        <v>45</v>
      </c>
    </row>
    <row r="50" customFormat="false" ht="15" hidden="false" customHeight="false" outlineLevel="0" collapsed="false">
      <c r="A50" s="2" t="n">
        <v>46</v>
      </c>
    </row>
    <row r="51" customFormat="false" ht="15" hidden="false" customHeight="false" outlineLevel="0" collapsed="false">
      <c r="A51" s="2" t="n">
        <v>47</v>
      </c>
    </row>
    <row r="52" customFormat="false" ht="15" hidden="false" customHeight="false" outlineLevel="0" collapsed="false">
      <c r="A52" s="2" t="n">
        <v>48</v>
      </c>
    </row>
    <row r="53" customFormat="false" ht="15" hidden="false" customHeight="false" outlineLevel="0" collapsed="false">
      <c r="A53" s="2" t="n">
        <v>49</v>
      </c>
    </row>
    <row r="54" customFormat="false" ht="15" hidden="false" customHeight="false" outlineLevel="0" collapsed="false">
      <c r="A54" s="2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7" t="s">
        <v>98</v>
      </c>
    </row>
    <row r="4" customFormat="false" ht="15" hidden="false" customHeight="false" outlineLevel="0" collapsed="false">
      <c r="A4" s="2" t="s">
        <v>99</v>
      </c>
    </row>
    <row r="5" customFormat="false" ht="26.85" hidden="false" customHeight="false" outlineLevel="0" collapsed="false">
      <c r="A5" s="3" t="s">
        <v>48</v>
      </c>
      <c r="B5" s="3" t="s">
        <v>100</v>
      </c>
      <c r="C5" s="3" t="s">
        <v>101</v>
      </c>
      <c r="D5" s="3" t="s">
        <v>102</v>
      </c>
      <c r="E5" s="3" t="s">
        <v>103</v>
      </c>
      <c r="F5" s="3" t="s">
        <v>104</v>
      </c>
      <c r="G5" s="3" t="s">
        <v>105</v>
      </c>
      <c r="H5" s="3" t="s">
        <v>106</v>
      </c>
      <c r="I5" s="3" t="s">
        <v>107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</row>
    <row r="6" customFormat="false" ht="15" hidden="false" customHeight="false" outlineLevel="0" collapsed="false">
      <c r="A6" s="7" t="s">
        <v>57</v>
      </c>
      <c r="B6" s="24" t="n">
        <f aca="false">Reels_Base!$Q$7</f>
        <v>0.0833333333333333</v>
      </c>
      <c r="C6" s="24" t="n">
        <f aca="false">Reels_Base!$R$7</f>
        <v>0.111111111111111</v>
      </c>
      <c r="D6" s="24" t="n">
        <f aca="false">Reels_Base!$S$7</f>
        <v>0.111111111111111</v>
      </c>
      <c r="E6" s="24" t="n">
        <f aca="false">Reels_Base!$T$7</f>
        <v>0.114285714285714</v>
      </c>
      <c r="F6" s="24" t="n">
        <f aca="false">Reels_Base!$U$7</f>
        <v>0.0882352941176471</v>
      </c>
      <c r="G6" s="24" t="n">
        <f aca="false">Reels_Base!$R$5</f>
        <v>0.0555555555555556</v>
      </c>
      <c r="H6" s="24" t="n">
        <f aca="false">Reels_Base!$S$5</f>
        <v>0.0555555555555556</v>
      </c>
      <c r="I6" s="24" t="n">
        <f aca="false">Reels_Base!$T$5</f>
        <v>0.0571428571428571</v>
      </c>
      <c r="J6" s="24" t="n">
        <f aca="false">Reels_Base!$U$5</f>
        <v>0</v>
      </c>
      <c r="K6" s="13" t="n">
        <f aca="false">B6</f>
        <v>0.0833333333333333</v>
      </c>
      <c r="L6" s="13" t="n">
        <f aca="false">K6*(C6+G6)</f>
        <v>0.0138888888888889</v>
      </c>
      <c r="M6" s="13" t="n">
        <f aca="false">L6*(D6+H6)</f>
        <v>0.00231481481481481</v>
      </c>
      <c r="N6" s="13" t="n">
        <f aca="false">M6*(E6+I6)</f>
        <v>0.000396825396825397</v>
      </c>
      <c r="O6" s="13" t="n">
        <f aca="false">N6*(F6+J6)</f>
        <v>3.50140056022409E-005</v>
      </c>
      <c r="P6" s="13" t="n">
        <f aca="false">M6-N6</f>
        <v>0.00191798941798942</v>
      </c>
      <c r="Q6" s="13" t="n">
        <f aca="false">N6-O6</f>
        <v>0.000361811391223156</v>
      </c>
      <c r="R6" s="13" t="n">
        <f aca="false">O6</f>
        <v>3.50140056022409E-005</v>
      </c>
      <c r="S6" s="25" t="n">
        <f aca="false">Paytable!$C$7</f>
        <v>2</v>
      </c>
      <c r="T6" s="25" t="n">
        <f aca="false">Paytable!$D$7</f>
        <v>8</v>
      </c>
      <c r="U6" s="25" t="n">
        <f aca="false">Paytable!$E$7</f>
        <v>40</v>
      </c>
      <c r="V6" s="13" t="n">
        <f aca="false">SUMPRODUCT(P6:R6,S6:U6)</f>
        <v>0.00813103018985372</v>
      </c>
      <c r="W6" s="13" t="n">
        <f aca="false">SUMPRODUCT(P6:R6,--(S6:U6&gt;0))</f>
        <v>0.00231481481481481</v>
      </c>
    </row>
    <row r="7" customFormat="false" ht="15" hidden="false" customHeight="false" outlineLevel="0" collapsed="false">
      <c r="A7" s="7" t="s">
        <v>59</v>
      </c>
      <c r="B7" s="24" t="n">
        <f aca="false">Reels_Base!$Q$8</f>
        <v>0.111111111111111</v>
      </c>
      <c r="C7" s="24" t="n">
        <f aca="false">Reels_Base!$R$8</f>
        <v>0.111111111111111</v>
      </c>
      <c r="D7" s="24" t="n">
        <f aca="false">Reels_Base!$S$8</f>
        <v>0.0833333333333333</v>
      </c>
      <c r="E7" s="24" t="n">
        <f aca="false">Reels_Base!$T$8</f>
        <v>0.0571428571428571</v>
      </c>
      <c r="F7" s="24" t="n">
        <f aca="false">Reels_Base!$U$8</f>
        <v>0.147058823529412</v>
      </c>
      <c r="G7" s="24" t="n">
        <f aca="false">Reels_Base!$R$5</f>
        <v>0.0555555555555556</v>
      </c>
      <c r="H7" s="24" t="n">
        <f aca="false">Reels_Base!$S$5</f>
        <v>0.0555555555555556</v>
      </c>
      <c r="I7" s="24" t="n">
        <f aca="false">Reels_Base!$T$5</f>
        <v>0.0571428571428571</v>
      </c>
      <c r="J7" s="24" t="n">
        <f aca="false">Reels_Base!$U$5</f>
        <v>0</v>
      </c>
      <c r="K7" s="13" t="n">
        <f aca="false">B7</f>
        <v>0.111111111111111</v>
      </c>
      <c r="L7" s="13" t="n">
        <f aca="false">K7*(C7+G7)</f>
        <v>0.0185185185185185</v>
      </c>
      <c r="M7" s="13" t="n">
        <f aca="false">L7*(D7+H7)</f>
        <v>0.00257201646090535</v>
      </c>
      <c r="N7" s="13" t="n">
        <f aca="false">M7*(E7+I7)</f>
        <v>0.000293944738389183</v>
      </c>
      <c r="O7" s="13" t="n">
        <f aca="false">N7*(F7+J7)</f>
        <v>4.3227167410174E-005</v>
      </c>
      <c r="P7" s="13" t="n">
        <f aca="false">M7-N7</f>
        <v>0.00227807172251617</v>
      </c>
      <c r="Q7" s="13" t="n">
        <f aca="false">N7-O7</f>
        <v>0.000250717570979009</v>
      </c>
      <c r="R7" s="13" t="n">
        <f aca="false">O7</f>
        <v>4.3227167410174E-005</v>
      </c>
      <c r="S7" s="25" t="n">
        <f aca="false">Paytable!$C$8</f>
        <v>1.5</v>
      </c>
      <c r="T7" s="25" t="n">
        <f aca="false">Paytable!$D$8</f>
        <v>5</v>
      </c>
      <c r="U7" s="25" t="n">
        <f aca="false">Paytable!$E$8</f>
        <v>25</v>
      </c>
      <c r="V7" s="13" t="n">
        <f aca="false">SUMPRODUCT(P7:R7,S7:U7)</f>
        <v>0.00575137462392364</v>
      </c>
      <c r="W7" s="13" t="n">
        <f aca="false">SUMPRODUCT(P7:R7,--(S7:U7&gt;0))</f>
        <v>0.00257201646090535</v>
      </c>
    </row>
    <row r="8" customFormat="false" ht="15" hidden="false" customHeight="false" outlineLevel="0" collapsed="false">
      <c r="A8" s="7" t="s">
        <v>61</v>
      </c>
      <c r="B8" s="24" t="n">
        <f aca="false">Reels_Base!$Q$9</f>
        <v>0.111111111111111</v>
      </c>
      <c r="C8" s="24" t="n">
        <f aca="false">Reels_Base!$R$9</f>
        <v>0.0833333333333333</v>
      </c>
      <c r="D8" s="24" t="n">
        <f aca="false">Reels_Base!$S$9</f>
        <v>0.0833333333333333</v>
      </c>
      <c r="E8" s="24" t="n">
        <f aca="false">Reels_Base!$T$9</f>
        <v>0.0571428571428571</v>
      </c>
      <c r="F8" s="24" t="n">
        <f aca="false">Reels_Base!$U$9</f>
        <v>0.117647058823529</v>
      </c>
      <c r="G8" s="24" t="n">
        <f aca="false">Reels_Base!$R$5</f>
        <v>0.0555555555555556</v>
      </c>
      <c r="H8" s="24" t="n">
        <f aca="false">Reels_Base!$S$5</f>
        <v>0.0555555555555556</v>
      </c>
      <c r="I8" s="24" t="n">
        <f aca="false">Reels_Base!$T$5</f>
        <v>0.0571428571428571</v>
      </c>
      <c r="J8" s="24" t="n">
        <f aca="false">Reels_Base!$U$5</f>
        <v>0</v>
      </c>
      <c r="K8" s="13" t="n">
        <f aca="false">B8</f>
        <v>0.111111111111111</v>
      </c>
      <c r="L8" s="13" t="n">
        <f aca="false">K8*(C8+G8)</f>
        <v>0.0154320987654321</v>
      </c>
      <c r="M8" s="13" t="n">
        <f aca="false">L8*(D8+H8)</f>
        <v>0.00214334705075446</v>
      </c>
      <c r="N8" s="13" t="n">
        <f aca="false">M8*(E8+I8)</f>
        <v>0.000244953948657652</v>
      </c>
      <c r="O8" s="13" t="n">
        <f aca="false">N8*(F8+J8)</f>
        <v>2.88181116067826E-005</v>
      </c>
      <c r="P8" s="13" t="n">
        <f aca="false">M8-N8</f>
        <v>0.00189839310209681</v>
      </c>
      <c r="Q8" s="13" t="n">
        <f aca="false">N8-O8</f>
        <v>0.00021613583705087</v>
      </c>
      <c r="R8" s="13" t="n">
        <f aca="false">O8</f>
        <v>2.88181116067826E-005</v>
      </c>
      <c r="S8" s="25" t="n">
        <f aca="false">Paytable!$C$9</f>
        <v>1</v>
      </c>
      <c r="T8" s="25" t="n">
        <f aca="false">Paytable!$D$9</f>
        <v>3</v>
      </c>
      <c r="U8" s="25" t="n">
        <f aca="false">Paytable!$E$9</f>
        <v>15</v>
      </c>
      <c r="V8" s="13" t="n">
        <f aca="false">SUMPRODUCT(P8:R8,S8:U8)</f>
        <v>0.00297907228735115</v>
      </c>
      <c r="W8" s="13" t="n">
        <f aca="false">SUMPRODUCT(P8:R8,--(S8:U8&gt;0))</f>
        <v>0.00214334705075446</v>
      </c>
    </row>
    <row r="9" customFormat="false" ht="15" hidden="false" customHeight="false" outlineLevel="0" collapsed="false">
      <c r="A9" s="7" t="s">
        <v>63</v>
      </c>
      <c r="B9" s="24" t="n">
        <f aca="false">Reels_Base!$Q$10</f>
        <v>0.111111111111111</v>
      </c>
      <c r="C9" s="24" t="n">
        <f aca="false">Reels_Base!$R$10</f>
        <v>0.0555555555555556</v>
      </c>
      <c r="D9" s="24" t="n">
        <f aca="false">Reels_Base!$S$10</f>
        <v>0.0833333333333333</v>
      </c>
      <c r="E9" s="24" t="n">
        <f aca="false">Reels_Base!$T$10</f>
        <v>0.142857142857143</v>
      </c>
      <c r="F9" s="24" t="n">
        <f aca="false">Reels_Base!$U$10</f>
        <v>0.117647058823529</v>
      </c>
      <c r="G9" s="24" t="n">
        <f aca="false">Reels_Base!$R$5</f>
        <v>0.0555555555555556</v>
      </c>
      <c r="H9" s="24" t="n">
        <f aca="false">Reels_Base!$S$5</f>
        <v>0.0555555555555556</v>
      </c>
      <c r="I9" s="24" t="n">
        <f aca="false">Reels_Base!$T$5</f>
        <v>0.0571428571428571</v>
      </c>
      <c r="J9" s="24" t="n">
        <f aca="false">Reels_Base!$U$5</f>
        <v>0</v>
      </c>
      <c r="K9" s="13" t="n">
        <f aca="false">B9</f>
        <v>0.111111111111111</v>
      </c>
      <c r="L9" s="13" t="n">
        <f aca="false">K9*(C9+G9)</f>
        <v>0.0123456790123457</v>
      </c>
      <c r="M9" s="13" t="n">
        <f aca="false">L9*(D9+H9)</f>
        <v>0.00171467764060357</v>
      </c>
      <c r="N9" s="13" t="n">
        <f aca="false">M9*(E9+I9)</f>
        <v>0.000342935528120713</v>
      </c>
      <c r="O9" s="13" t="n">
        <f aca="false">N9*(F9+J9)</f>
        <v>4.03453562494957E-005</v>
      </c>
      <c r="P9" s="13" t="n">
        <f aca="false">M9-N9</f>
        <v>0.00137174211248285</v>
      </c>
      <c r="Q9" s="13" t="n">
        <f aca="false">N9-O9</f>
        <v>0.000302590171871218</v>
      </c>
      <c r="R9" s="13" t="n">
        <f aca="false">O9</f>
        <v>4.03453562494957E-005</v>
      </c>
      <c r="S9" s="25" t="n">
        <f aca="false">Paytable!$C$10</f>
        <v>0.8</v>
      </c>
      <c r="T9" s="25" t="n">
        <f aca="false">Paytable!$D$10</f>
        <v>2</v>
      </c>
      <c r="U9" s="25" t="n">
        <f aca="false">Paytable!$E$10</f>
        <v>10</v>
      </c>
      <c r="V9" s="13" t="n">
        <f aca="false">SUMPRODUCT(P9:R9,S9:U9)</f>
        <v>0.00210602759622367</v>
      </c>
      <c r="W9" s="13" t="n">
        <f aca="false">SUMPRODUCT(P9:R9,--(S9:U9&gt;0))</f>
        <v>0.00171467764060357</v>
      </c>
    </row>
    <row r="10" customFormat="false" ht="15" hidden="false" customHeight="false" outlineLevel="0" collapsed="false">
      <c r="A10" s="7" t="s">
        <v>65</v>
      </c>
      <c r="B10" s="24" t="n">
        <f aca="false">Reels_Base!$Q$11</f>
        <v>0.138888888888889</v>
      </c>
      <c r="C10" s="24" t="n">
        <f aca="false">Reels_Base!$R$11</f>
        <v>0.138888888888889</v>
      </c>
      <c r="D10" s="24" t="n">
        <f aca="false">Reels_Base!$S$11</f>
        <v>0.138888888888889</v>
      </c>
      <c r="E10" s="24" t="n">
        <f aca="false">Reels_Base!$T$11</f>
        <v>0.2</v>
      </c>
      <c r="F10" s="24" t="n">
        <f aca="false">Reels_Base!$U$11</f>
        <v>0.176470588235294</v>
      </c>
      <c r="G10" s="24" t="n">
        <f aca="false">Reels_Base!$R$5</f>
        <v>0.0555555555555556</v>
      </c>
      <c r="H10" s="24" t="n">
        <f aca="false">Reels_Base!$S$5</f>
        <v>0.0555555555555556</v>
      </c>
      <c r="I10" s="24" t="n">
        <f aca="false">Reels_Base!$T$5</f>
        <v>0.0571428571428571</v>
      </c>
      <c r="J10" s="24" t="n">
        <f aca="false">Reels_Base!$U$5</f>
        <v>0</v>
      </c>
      <c r="K10" s="13" t="n">
        <f aca="false">B10</f>
        <v>0.138888888888889</v>
      </c>
      <c r="L10" s="13" t="n">
        <f aca="false">K10*(C10+G10)</f>
        <v>0.0270061728395062</v>
      </c>
      <c r="M10" s="13" t="n">
        <f aca="false">L10*(D10+H10)</f>
        <v>0.00525120027434842</v>
      </c>
      <c r="N10" s="13" t="n">
        <f aca="false">M10*(E10+I10)</f>
        <v>0.00135030864197531</v>
      </c>
      <c r="O10" s="13" t="n">
        <f aca="false">N10*(F10+J10)</f>
        <v>0.000238289760348584</v>
      </c>
      <c r="P10" s="13" t="n">
        <f aca="false">M10-N10</f>
        <v>0.00390089163237311</v>
      </c>
      <c r="Q10" s="13" t="n">
        <f aca="false">N10-O10</f>
        <v>0.00111201888162673</v>
      </c>
      <c r="R10" s="13" t="n">
        <f aca="false">O10</f>
        <v>0.000238289760348584</v>
      </c>
      <c r="S10" s="25" t="n">
        <f aca="false">Paytable!$C$11</f>
        <v>0.4</v>
      </c>
      <c r="T10" s="25" t="n">
        <f aca="false">Paytable!$D$11</f>
        <v>1.2</v>
      </c>
      <c r="U10" s="25" t="n">
        <f aca="false">Paytable!$E$11</f>
        <v>5</v>
      </c>
      <c r="V10" s="13" t="n">
        <f aca="false">SUMPRODUCT(P10:R10,S10:U10)</f>
        <v>0.00408622811264424</v>
      </c>
      <c r="W10" s="13" t="n">
        <f aca="false">SUMPRODUCT(P10:R10,--(S10:U10&gt;0))</f>
        <v>0.00525120027434842</v>
      </c>
    </row>
    <row r="11" customFormat="false" ht="15" hidden="false" customHeight="false" outlineLevel="0" collapsed="false">
      <c r="A11" s="7" t="s">
        <v>66</v>
      </c>
      <c r="B11" s="24" t="n">
        <f aca="false">Reels_Base!$Q$12</f>
        <v>0.138888888888889</v>
      </c>
      <c r="C11" s="24" t="n">
        <f aca="false">Reels_Base!$R$12</f>
        <v>0.138888888888889</v>
      </c>
      <c r="D11" s="24" t="n">
        <f aca="false">Reels_Base!$S$12</f>
        <v>0.138888888888889</v>
      </c>
      <c r="E11" s="24" t="n">
        <f aca="false">Reels_Base!$T$12</f>
        <v>0.0857142857142857</v>
      </c>
      <c r="F11" s="24" t="n">
        <f aca="false">Reels_Base!$U$12</f>
        <v>0.117647058823529</v>
      </c>
      <c r="G11" s="24" t="n">
        <f aca="false">Reels_Base!$R$5</f>
        <v>0.0555555555555556</v>
      </c>
      <c r="H11" s="24" t="n">
        <f aca="false">Reels_Base!$S$5</f>
        <v>0.0555555555555556</v>
      </c>
      <c r="I11" s="24" t="n">
        <f aca="false">Reels_Base!$T$5</f>
        <v>0.0571428571428571</v>
      </c>
      <c r="J11" s="24" t="n">
        <f aca="false">Reels_Base!$U$5</f>
        <v>0</v>
      </c>
      <c r="K11" s="13" t="n">
        <f aca="false">B11</f>
        <v>0.138888888888889</v>
      </c>
      <c r="L11" s="13" t="n">
        <f aca="false">K11*(C11+G11)</f>
        <v>0.0270061728395062</v>
      </c>
      <c r="M11" s="13" t="n">
        <f aca="false">L11*(D11+H11)</f>
        <v>0.00525120027434842</v>
      </c>
      <c r="N11" s="13" t="n">
        <f aca="false">M11*(E11+I11)</f>
        <v>0.00075017146776406</v>
      </c>
      <c r="O11" s="13" t="n">
        <f aca="false">N11*(F11+J11)</f>
        <v>8.82554667957718E-005</v>
      </c>
      <c r="P11" s="13" t="n">
        <f aca="false">M11-N11</f>
        <v>0.00450102880658436</v>
      </c>
      <c r="Q11" s="13" t="n">
        <f aca="false">N11-O11</f>
        <v>0.000661916000968289</v>
      </c>
      <c r="R11" s="13" t="n">
        <f aca="false">O11</f>
        <v>8.82554667957718E-005</v>
      </c>
      <c r="S11" s="25" t="n">
        <f aca="false">Paytable!$C$12</f>
        <v>0.3</v>
      </c>
      <c r="T11" s="25" t="n">
        <f aca="false">Paytable!$D$12</f>
        <v>1</v>
      </c>
      <c r="U11" s="25" t="n">
        <f aca="false">Paytable!$E$12</f>
        <v>4</v>
      </c>
      <c r="V11" s="13" t="n">
        <f aca="false">SUMPRODUCT(P11:R11,S11:U11)</f>
        <v>0.00236524651012668</v>
      </c>
      <c r="W11" s="13" t="n">
        <f aca="false">SUMPRODUCT(P11:R11,--(S11:U11&gt;0))</f>
        <v>0.00525120027434842</v>
      </c>
    </row>
    <row r="12" customFormat="false" ht="15" hidden="false" customHeight="false" outlineLevel="0" collapsed="false">
      <c r="A12" s="7" t="s">
        <v>67</v>
      </c>
      <c r="B12" s="24" t="n">
        <f aca="false">Reels_Base!$Q$13</f>
        <v>0.138888888888889</v>
      </c>
      <c r="C12" s="24" t="n">
        <f aca="false">Reels_Base!$R$13</f>
        <v>0.138888888888889</v>
      </c>
      <c r="D12" s="24" t="n">
        <f aca="false">Reels_Base!$S$13</f>
        <v>0.138888888888889</v>
      </c>
      <c r="E12" s="24" t="n">
        <f aca="false">Reels_Base!$T$13</f>
        <v>0.142857142857143</v>
      </c>
      <c r="F12" s="24" t="n">
        <f aca="false">Reels_Base!$U$13</f>
        <v>0.117647058823529</v>
      </c>
      <c r="G12" s="24" t="n">
        <f aca="false">Reels_Base!$R$5</f>
        <v>0.0555555555555556</v>
      </c>
      <c r="H12" s="24" t="n">
        <f aca="false">Reels_Base!$S$5</f>
        <v>0.0555555555555556</v>
      </c>
      <c r="I12" s="24" t="n">
        <f aca="false">Reels_Base!$T$5</f>
        <v>0.0571428571428571</v>
      </c>
      <c r="J12" s="24" t="n">
        <f aca="false">Reels_Base!$U$5</f>
        <v>0</v>
      </c>
      <c r="K12" s="13" t="n">
        <f aca="false">B12</f>
        <v>0.138888888888889</v>
      </c>
      <c r="L12" s="13" t="n">
        <f aca="false">K12*(C12+G12)</f>
        <v>0.0270061728395062</v>
      </c>
      <c r="M12" s="13" t="n">
        <f aca="false">L12*(D12+H12)</f>
        <v>0.00525120027434842</v>
      </c>
      <c r="N12" s="13" t="n">
        <f aca="false">M12*(E12+I12)</f>
        <v>0.00105024005486968</v>
      </c>
      <c r="O12" s="13" t="n">
        <f aca="false">N12*(F12+J12)</f>
        <v>0.000123557653514081</v>
      </c>
      <c r="P12" s="13" t="n">
        <f aca="false">M12-N12</f>
        <v>0.00420096021947874</v>
      </c>
      <c r="Q12" s="13" t="n">
        <f aca="false">N12-O12</f>
        <v>0.000926682401355604</v>
      </c>
      <c r="R12" s="13" t="n">
        <f aca="false">O12</f>
        <v>0.000123557653514081</v>
      </c>
      <c r="S12" s="25" t="n">
        <f aca="false">Paytable!$C$13</f>
        <v>0.3</v>
      </c>
      <c r="T12" s="25" t="n">
        <f aca="false">Paytable!$D$13</f>
        <v>0.8</v>
      </c>
      <c r="U12" s="25" t="n">
        <f aca="false">Paytable!$E$13</f>
        <v>3</v>
      </c>
      <c r="V12" s="13" t="n">
        <f aca="false">SUMPRODUCT(P12:R12,S12:U12)</f>
        <v>0.00237230694747035</v>
      </c>
      <c r="W12" s="13" t="n">
        <f aca="false">SUMPRODUCT(P12:R12,--(S12:U12&gt;0))</f>
        <v>0.00525120027434842</v>
      </c>
    </row>
    <row r="13" customFormat="false" ht="15" hidden="false" customHeight="false" outlineLevel="0" collapsed="false">
      <c r="A13" s="7" t="s">
        <v>68</v>
      </c>
      <c r="B13" s="24" t="n">
        <f aca="false">Reels_Base!$Q$14</f>
        <v>0.138888888888889</v>
      </c>
      <c r="C13" s="24" t="n">
        <f aca="false">Reels_Base!$R$14</f>
        <v>0.138888888888889</v>
      </c>
      <c r="D13" s="24" t="n">
        <f aca="false">Reels_Base!$S$14</f>
        <v>0.138888888888889</v>
      </c>
      <c r="E13" s="24" t="n">
        <f aca="false">Reels_Base!$T$14</f>
        <v>0.114285714285714</v>
      </c>
      <c r="F13" s="24" t="n">
        <f aca="false">Reels_Base!$U$14</f>
        <v>0.0882352941176471</v>
      </c>
      <c r="G13" s="24" t="n">
        <f aca="false">Reels_Base!$R$5</f>
        <v>0.0555555555555556</v>
      </c>
      <c r="H13" s="24" t="n">
        <f aca="false">Reels_Base!$S$5</f>
        <v>0.0555555555555556</v>
      </c>
      <c r="I13" s="24" t="n">
        <f aca="false">Reels_Base!$T$5</f>
        <v>0.0571428571428571</v>
      </c>
      <c r="J13" s="24" t="n">
        <f aca="false">Reels_Base!$U$5</f>
        <v>0</v>
      </c>
      <c r="K13" s="13" t="n">
        <f aca="false">B13</f>
        <v>0.138888888888889</v>
      </c>
      <c r="L13" s="13" t="n">
        <f aca="false">K13*(C13+G13)</f>
        <v>0.0270061728395062</v>
      </c>
      <c r="M13" s="13" t="n">
        <f aca="false">L13*(D13+H13)</f>
        <v>0.00525120027434842</v>
      </c>
      <c r="N13" s="13" t="n">
        <f aca="false">M13*(E13+I13)</f>
        <v>0.000900205761316873</v>
      </c>
      <c r="O13" s="13" t="n">
        <f aca="false">N13*(F13+J13)</f>
        <v>7.94299201161946E-005</v>
      </c>
      <c r="P13" s="13" t="n">
        <f aca="false">M13-N13</f>
        <v>0.00435099451303155</v>
      </c>
      <c r="Q13" s="13" t="n">
        <f aca="false">N13-O13</f>
        <v>0.000820775841200678</v>
      </c>
      <c r="R13" s="13" t="n">
        <f aca="false">O13</f>
        <v>7.94299201161946E-005</v>
      </c>
      <c r="S13" s="25" t="n">
        <f aca="false">Paytable!$C$14</f>
        <v>0.2</v>
      </c>
      <c r="T13" s="25" t="n">
        <f aca="false">Paytable!$D$14</f>
        <v>0.6</v>
      </c>
      <c r="U13" s="25" t="n">
        <f aca="false">Paytable!$E$14</f>
        <v>2.5</v>
      </c>
      <c r="V13" s="13" t="n">
        <f aca="false">SUMPRODUCT(P13:R13,S13:U13)</f>
        <v>0.0015612392076172</v>
      </c>
      <c r="W13" s="13" t="n">
        <f aca="false">SUMPRODUCT(P13:R13,--(S13:U13&gt;0))</f>
        <v>0.00525120027434842</v>
      </c>
    </row>
    <row r="14" customFormat="false" ht="15" hidden="false" customHeight="false" outlineLevel="0" collapsed="false">
      <c r="A14" s="7" t="s">
        <v>122</v>
      </c>
      <c r="V14" s="26" t="n">
        <f aca="false">SUM(V6:V13)</f>
        <v>0.0293525254752107</v>
      </c>
      <c r="W14" s="26" t="n">
        <f aca="false">SUM(W6:W13)</f>
        <v>0.0297496570644719</v>
      </c>
    </row>
    <row r="15" customFormat="false" ht="15" hidden="false" customHeight="false" outlineLevel="0" collapsed="false">
      <c r="A15" s="2" t="s">
        <v>123</v>
      </c>
      <c r="V15" s="7" t="str">
        <f aca="false">IF(Reels_Base!$Q$5=0,"OK","INVALID: wild on reel 1")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7" t="s">
        <v>125</v>
      </c>
    </row>
    <row r="4" customFormat="false" ht="15" hidden="false" customHeight="false" outlineLevel="0" collapsed="false">
      <c r="A4" s="2" t="s">
        <v>99</v>
      </c>
    </row>
    <row r="5" customFormat="false" ht="26.85" hidden="false" customHeight="false" outlineLevel="0" collapsed="false">
      <c r="A5" s="3" t="s">
        <v>48</v>
      </c>
      <c r="B5" s="3" t="s">
        <v>100</v>
      </c>
      <c r="C5" s="3" t="s">
        <v>101</v>
      </c>
      <c r="D5" s="3" t="s">
        <v>102</v>
      </c>
      <c r="E5" s="3" t="s">
        <v>103</v>
      </c>
      <c r="F5" s="3" t="s">
        <v>104</v>
      </c>
      <c r="G5" s="3" t="s">
        <v>105</v>
      </c>
      <c r="H5" s="3" t="s">
        <v>106</v>
      </c>
      <c r="I5" s="3" t="s">
        <v>107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</row>
    <row r="6" customFormat="false" ht="15" hidden="false" customHeight="false" outlineLevel="0" collapsed="false">
      <c r="A6" s="7" t="s">
        <v>57</v>
      </c>
      <c r="B6" s="24" t="n">
        <f aca="false">Reels_FS!$Q$7</f>
        <v>0.125</v>
      </c>
      <c r="C6" s="24" t="n">
        <f aca="false">Reels_FS!$R$7</f>
        <v>0.107142857142857</v>
      </c>
      <c r="D6" s="24" t="n">
        <f aca="false">Reels_FS!$S$7</f>
        <v>0.107142857142857</v>
      </c>
      <c r="E6" s="24" t="n">
        <f aca="false">Reels_FS!$T$7</f>
        <v>0.107142857142857</v>
      </c>
      <c r="F6" s="24" t="n">
        <f aca="false">Reels_FS!$U$7</f>
        <v>0.125</v>
      </c>
      <c r="G6" s="24" t="n">
        <f aca="false">Reels_FS!$R$5</f>
        <v>0.142857142857143</v>
      </c>
      <c r="H6" s="24" t="n">
        <f aca="false">Reels_FS!$S$5</f>
        <v>0.142857142857143</v>
      </c>
      <c r="I6" s="24" t="n">
        <f aca="false">Reels_FS!$T$5</f>
        <v>0.142857142857143</v>
      </c>
      <c r="J6" s="24" t="n">
        <f aca="false">Reels_FS!$U$5</f>
        <v>0</v>
      </c>
      <c r="K6" s="13" t="n">
        <f aca="false">B6</f>
        <v>0.125</v>
      </c>
      <c r="L6" s="13" t="n">
        <f aca="false">K6*(C6+G6)</f>
        <v>0.03125</v>
      </c>
      <c r="M6" s="13" t="n">
        <f aca="false">L6*(D6+H6)</f>
        <v>0.0078125</v>
      </c>
      <c r="N6" s="13" t="n">
        <f aca="false">M6*(E6+I6)</f>
        <v>0.001953125</v>
      </c>
      <c r="O6" s="13" t="n">
        <f aca="false">N6*(F6+J6)</f>
        <v>0.000244140625</v>
      </c>
      <c r="P6" s="13" t="n">
        <f aca="false">M6-N6</f>
        <v>0.005859375</v>
      </c>
      <c r="Q6" s="13" t="n">
        <f aca="false">N6-O6</f>
        <v>0.001708984375</v>
      </c>
      <c r="R6" s="13" t="n">
        <f aca="false">O6</f>
        <v>0.000244140625</v>
      </c>
      <c r="S6" s="25" t="n">
        <f aca="false">Paytable!$C$7</f>
        <v>2</v>
      </c>
      <c r="T6" s="25" t="n">
        <f aca="false">Paytable!$D$7</f>
        <v>8</v>
      </c>
      <c r="U6" s="25" t="n">
        <f aca="false">Paytable!$E$7</f>
        <v>40</v>
      </c>
      <c r="V6" s="13" t="n">
        <f aca="false">SUMPRODUCT(P6:R6,S6:U6)</f>
        <v>0.03515625</v>
      </c>
      <c r="W6" s="13" t="n">
        <f aca="false">SUMPRODUCT(P6:R6,--(S6:U6&gt;0))</f>
        <v>0.0078125</v>
      </c>
    </row>
    <row r="7" customFormat="false" ht="15" hidden="false" customHeight="false" outlineLevel="0" collapsed="false">
      <c r="A7" s="7" t="s">
        <v>59</v>
      </c>
      <c r="B7" s="24" t="n">
        <f aca="false">Reels_FS!$Q$8</f>
        <v>0.125</v>
      </c>
      <c r="C7" s="24" t="n">
        <f aca="false">Reels_FS!$R$8</f>
        <v>0.107142857142857</v>
      </c>
      <c r="D7" s="24" t="n">
        <f aca="false">Reels_FS!$S$8</f>
        <v>0.107142857142857</v>
      </c>
      <c r="E7" s="24" t="n">
        <f aca="false">Reels_FS!$T$8</f>
        <v>0.107142857142857</v>
      </c>
      <c r="F7" s="24" t="n">
        <f aca="false">Reels_FS!$U$8</f>
        <v>0.125</v>
      </c>
      <c r="G7" s="24" t="n">
        <f aca="false">Reels_FS!$R$5</f>
        <v>0.142857142857143</v>
      </c>
      <c r="H7" s="24" t="n">
        <f aca="false">Reels_FS!$S$5</f>
        <v>0.142857142857143</v>
      </c>
      <c r="I7" s="24" t="n">
        <f aca="false">Reels_FS!$T$5</f>
        <v>0.142857142857143</v>
      </c>
      <c r="J7" s="24" t="n">
        <f aca="false">Reels_FS!$U$5</f>
        <v>0</v>
      </c>
      <c r="K7" s="13" t="n">
        <f aca="false">B7</f>
        <v>0.125</v>
      </c>
      <c r="L7" s="13" t="n">
        <f aca="false">K7*(C7+G7)</f>
        <v>0.03125</v>
      </c>
      <c r="M7" s="13" t="n">
        <f aca="false">L7*(D7+H7)</f>
        <v>0.0078125</v>
      </c>
      <c r="N7" s="13" t="n">
        <f aca="false">M7*(E7+I7)</f>
        <v>0.001953125</v>
      </c>
      <c r="O7" s="13" t="n">
        <f aca="false">N7*(F7+J7)</f>
        <v>0.000244140625</v>
      </c>
      <c r="P7" s="13" t="n">
        <f aca="false">M7-N7</f>
        <v>0.005859375</v>
      </c>
      <c r="Q7" s="13" t="n">
        <f aca="false">N7-O7</f>
        <v>0.001708984375</v>
      </c>
      <c r="R7" s="13" t="n">
        <f aca="false">O7</f>
        <v>0.000244140625</v>
      </c>
      <c r="S7" s="25" t="n">
        <f aca="false">Paytable!$C$8</f>
        <v>1.5</v>
      </c>
      <c r="T7" s="25" t="n">
        <f aca="false">Paytable!$D$8</f>
        <v>5</v>
      </c>
      <c r="U7" s="25" t="n">
        <f aca="false">Paytable!$E$8</f>
        <v>25</v>
      </c>
      <c r="V7" s="13" t="n">
        <f aca="false">SUMPRODUCT(P7:R7,S7:U7)</f>
        <v>0.0234375</v>
      </c>
      <c r="W7" s="13" t="n">
        <f aca="false">SUMPRODUCT(P7:R7,--(S7:U7&gt;0))</f>
        <v>0.0078125</v>
      </c>
    </row>
    <row r="8" customFormat="false" ht="15" hidden="false" customHeight="false" outlineLevel="0" collapsed="false">
      <c r="A8" s="7" t="s">
        <v>61</v>
      </c>
      <c r="B8" s="24" t="n">
        <f aca="false">Reels_FS!$Q$9</f>
        <v>0.125</v>
      </c>
      <c r="C8" s="24" t="n">
        <f aca="false">Reels_FS!$R$9</f>
        <v>0.107142857142857</v>
      </c>
      <c r="D8" s="24" t="n">
        <f aca="false">Reels_FS!$S$9</f>
        <v>0.107142857142857</v>
      </c>
      <c r="E8" s="24" t="n">
        <f aca="false">Reels_FS!$T$9</f>
        <v>0.107142857142857</v>
      </c>
      <c r="F8" s="24" t="n">
        <f aca="false">Reels_FS!$U$9</f>
        <v>0.125</v>
      </c>
      <c r="G8" s="24" t="n">
        <f aca="false">Reels_FS!$R$5</f>
        <v>0.142857142857143</v>
      </c>
      <c r="H8" s="24" t="n">
        <f aca="false">Reels_FS!$S$5</f>
        <v>0.142857142857143</v>
      </c>
      <c r="I8" s="24" t="n">
        <f aca="false">Reels_FS!$T$5</f>
        <v>0.142857142857143</v>
      </c>
      <c r="J8" s="24" t="n">
        <f aca="false">Reels_FS!$U$5</f>
        <v>0</v>
      </c>
      <c r="K8" s="13" t="n">
        <f aca="false">B8</f>
        <v>0.125</v>
      </c>
      <c r="L8" s="13" t="n">
        <f aca="false">K8*(C8+G8)</f>
        <v>0.03125</v>
      </c>
      <c r="M8" s="13" t="n">
        <f aca="false">L8*(D8+H8)</f>
        <v>0.0078125</v>
      </c>
      <c r="N8" s="13" t="n">
        <f aca="false">M8*(E8+I8)</f>
        <v>0.001953125</v>
      </c>
      <c r="O8" s="13" t="n">
        <f aca="false">N8*(F8+J8)</f>
        <v>0.000244140625</v>
      </c>
      <c r="P8" s="13" t="n">
        <f aca="false">M8-N8</f>
        <v>0.005859375</v>
      </c>
      <c r="Q8" s="13" t="n">
        <f aca="false">N8-O8</f>
        <v>0.001708984375</v>
      </c>
      <c r="R8" s="13" t="n">
        <f aca="false">O8</f>
        <v>0.000244140625</v>
      </c>
      <c r="S8" s="25" t="n">
        <f aca="false">Paytable!$C$9</f>
        <v>1</v>
      </c>
      <c r="T8" s="25" t="n">
        <f aca="false">Paytable!$D$9</f>
        <v>3</v>
      </c>
      <c r="U8" s="25" t="n">
        <f aca="false">Paytable!$E$9</f>
        <v>15</v>
      </c>
      <c r="V8" s="13" t="n">
        <f aca="false">SUMPRODUCT(P8:R8,S8:U8)</f>
        <v>0.0146484375</v>
      </c>
      <c r="W8" s="13" t="n">
        <f aca="false">SUMPRODUCT(P8:R8,--(S8:U8&gt;0))</f>
        <v>0.0078125</v>
      </c>
    </row>
    <row r="9" customFormat="false" ht="15" hidden="false" customHeight="false" outlineLevel="0" collapsed="false">
      <c r="A9" s="7" t="s">
        <v>63</v>
      </c>
      <c r="B9" s="24" t="n">
        <f aca="false">Reels_FS!$Q$10</f>
        <v>0.125</v>
      </c>
      <c r="C9" s="24" t="n">
        <f aca="false">Reels_FS!$R$10</f>
        <v>0.107142857142857</v>
      </c>
      <c r="D9" s="24" t="n">
        <f aca="false">Reels_FS!$S$10</f>
        <v>0.107142857142857</v>
      </c>
      <c r="E9" s="24" t="n">
        <f aca="false">Reels_FS!$T$10</f>
        <v>0.107142857142857</v>
      </c>
      <c r="F9" s="24" t="n">
        <f aca="false">Reels_FS!$U$10</f>
        <v>0.125</v>
      </c>
      <c r="G9" s="24" t="n">
        <f aca="false">Reels_FS!$R$5</f>
        <v>0.142857142857143</v>
      </c>
      <c r="H9" s="24" t="n">
        <f aca="false">Reels_FS!$S$5</f>
        <v>0.142857142857143</v>
      </c>
      <c r="I9" s="24" t="n">
        <f aca="false">Reels_FS!$T$5</f>
        <v>0.142857142857143</v>
      </c>
      <c r="J9" s="24" t="n">
        <f aca="false">Reels_FS!$U$5</f>
        <v>0</v>
      </c>
      <c r="K9" s="13" t="n">
        <f aca="false">B9</f>
        <v>0.125</v>
      </c>
      <c r="L9" s="13" t="n">
        <f aca="false">K9*(C9+G9)</f>
        <v>0.03125</v>
      </c>
      <c r="M9" s="13" t="n">
        <f aca="false">L9*(D9+H9)</f>
        <v>0.0078125</v>
      </c>
      <c r="N9" s="13" t="n">
        <f aca="false">M9*(E9+I9)</f>
        <v>0.001953125</v>
      </c>
      <c r="O9" s="13" t="n">
        <f aca="false">N9*(F9+J9)</f>
        <v>0.000244140625</v>
      </c>
      <c r="P9" s="13" t="n">
        <f aca="false">M9-N9</f>
        <v>0.005859375</v>
      </c>
      <c r="Q9" s="13" t="n">
        <f aca="false">N9-O9</f>
        <v>0.001708984375</v>
      </c>
      <c r="R9" s="13" t="n">
        <f aca="false">O9</f>
        <v>0.000244140625</v>
      </c>
      <c r="S9" s="25" t="n">
        <f aca="false">Paytable!$C$10</f>
        <v>0.8</v>
      </c>
      <c r="T9" s="25" t="n">
        <f aca="false">Paytable!$D$10</f>
        <v>2</v>
      </c>
      <c r="U9" s="25" t="n">
        <f aca="false">Paytable!$E$10</f>
        <v>10</v>
      </c>
      <c r="V9" s="13" t="n">
        <f aca="false">SUMPRODUCT(P9:R9,S9:U9)</f>
        <v>0.010546875</v>
      </c>
      <c r="W9" s="13" t="n">
        <f aca="false">SUMPRODUCT(P9:R9,--(S9:U9&gt;0))</f>
        <v>0.0078125</v>
      </c>
    </row>
    <row r="10" customFormat="false" ht="15" hidden="false" customHeight="false" outlineLevel="0" collapsed="false">
      <c r="A10" s="7" t="s">
        <v>65</v>
      </c>
      <c r="B10" s="24" t="n">
        <f aca="false">Reels_FS!$Q$11</f>
        <v>0.125</v>
      </c>
      <c r="C10" s="24" t="n">
        <f aca="false">Reels_FS!$R$11</f>
        <v>0.107142857142857</v>
      </c>
      <c r="D10" s="24" t="n">
        <f aca="false">Reels_FS!$S$11</f>
        <v>0.107142857142857</v>
      </c>
      <c r="E10" s="24" t="n">
        <f aca="false">Reels_FS!$T$11</f>
        <v>0.107142857142857</v>
      </c>
      <c r="F10" s="24" t="n">
        <f aca="false">Reels_FS!$U$11</f>
        <v>0.125</v>
      </c>
      <c r="G10" s="24" t="n">
        <f aca="false">Reels_FS!$R$5</f>
        <v>0.142857142857143</v>
      </c>
      <c r="H10" s="24" t="n">
        <f aca="false">Reels_FS!$S$5</f>
        <v>0.142857142857143</v>
      </c>
      <c r="I10" s="24" t="n">
        <f aca="false">Reels_FS!$T$5</f>
        <v>0.142857142857143</v>
      </c>
      <c r="J10" s="24" t="n">
        <f aca="false">Reels_FS!$U$5</f>
        <v>0</v>
      </c>
      <c r="K10" s="13" t="n">
        <f aca="false">B10</f>
        <v>0.125</v>
      </c>
      <c r="L10" s="13" t="n">
        <f aca="false">K10*(C10+G10)</f>
        <v>0.03125</v>
      </c>
      <c r="M10" s="13" t="n">
        <f aca="false">L10*(D10+H10)</f>
        <v>0.0078125</v>
      </c>
      <c r="N10" s="13" t="n">
        <f aca="false">M10*(E10+I10)</f>
        <v>0.001953125</v>
      </c>
      <c r="O10" s="13" t="n">
        <f aca="false">N10*(F10+J10)</f>
        <v>0.000244140625</v>
      </c>
      <c r="P10" s="13" t="n">
        <f aca="false">M10-N10</f>
        <v>0.005859375</v>
      </c>
      <c r="Q10" s="13" t="n">
        <f aca="false">N10-O10</f>
        <v>0.001708984375</v>
      </c>
      <c r="R10" s="13" t="n">
        <f aca="false">O10</f>
        <v>0.000244140625</v>
      </c>
      <c r="S10" s="25" t="n">
        <f aca="false">Paytable!$C$11</f>
        <v>0.4</v>
      </c>
      <c r="T10" s="25" t="n">
        <f aca="false">Paytable!$D$11</f>
        <v>1.2</v>
      </c>
      <c r="U10" s="25" t="n">
        <f aca="false">Paytable!$E$11</f>
        <v>5</v>
      </c>
      <c r="V10" s="13" t="n">
        <f aca="false">SUMPRODUCT(P10:R10,S10:U10)</f>
        <v>0.005615234375</v>
      </c>
      <c r="W10" s="13" t="n">
        <f aca="false">SUMPRODUCT(P10:R10,--(S10:U10&gt;0))</f>
        <v>0.0078125</v>
      </c>
    </row>
    <row r="11" customFormat="false" ht="15" hidden="false" customHeight="false" outlineLevel="0" collapsed="false">
      <c r="A11" s="7" t="s">
        <v>66</v>
      </c>
      <c r="B11" s="24" t="n">
        <f aca="false">Reels_FS!$Q$12</f>
        <v>0.125</v>
      </c>
      <c r="C11" s="24" t="n">
        <f aca="false">Reels_FS!$R$12</f>
        <v>0.107142857142857</v>
      </c>
      <c r="D11" s="24" t="n">
        <f aca="false">Reels_FS!$S$12</f>
        <v>0.107142857142857</v>
      </c>
      <c r="E11" s="24" t="n">
        <f aca="false">Reels_FS!$T$12</f>
        <v>0.107142857142857</v>
      </c>
      <c r="F11" s="24" t="n">
        <f aca="false">Reels_FS!$U$12</f>
        <v>0.125</v>
      </c>
      <c r="G11" s="24" t="n">
        <f aca="false">Reels_FS!$R$5</f>
        <v>0.142857142857143</v>
      </c>
      <c r="H11" s="24" t="n">
        <f aca="false">Reels_FS!$S$5</f>
        <v>0.142857142857143</v>
      </c>
      <c r="I11" s="24" t="n">
        <f aca="false">Reels_FS!$T$5</f>
        <v>0.142857142857143</v>
      </c>
      <c r="J11" s="24" t="n">
        <f aca="false">Reels_FS!$U$5</f>
        <v>0</v>
      </c>
      <c r="K11" s="13" t="n">
        <f aca="false">B11</f>
        <v>0.125</v>
      </c>
      <c r="L11" s="13" t="n">
        <f aca="false">K11*(C11+G11)</f>
        <v>0.03125</v>
      </c>
      <c r="M11" s="13" t="n">
        <f aca="false">L11*(D11+H11)</f>
        <v>0.0078125</v>
      </c>
      <c r="N11" s="13" t="n">
        <f aca="false">M11*(E11+I11)</f>
        <v>0.001953125</v>
      </c>
      <c r="O11" s="13" t="n">
        <f aca="false">N11*(F11+J11)</f>
        <v>0.000244140625</v>
      </c>
      <c r="P11" s="13" t="n">
        <f aca="false">M11-N11</f>
        <v>0.005859375</v>
      </c>
      <c r="Q11" s="13" t="n">
        <f aca="false">N11-O11</f>
        <v>0.001708984375</v>
      </c>
      <c r="R11" s="13" t="n">
        <f aca="false">O11</f>
        <v>0.000244140625</v>
      </c>
      <c r="S11" s="25" t="n">
        <f aca="false">Paytable!$C$12</f>
        <v>0.3</v>
      </c>
      <c r="T11" s="25" t="n">
        <f aca="false">Paytable!$D$12</f>
        <v>1</v>
      </c>
      <c r="U11" s="25" t="n">
        <f aca="false">Paytable!$E$12</f>
        <v>4</v>
      </c>
      <c r="V11" s="13" t="n">
        <f aca="false">SUMPRODUCT(P11:R11,S11:U11)</f>
        <v>0.004443359375</v>
      </c>
      <c r="W11" s="13" t="n">
        <f aca="false">SUMPRODUCT(P11:R11,--(S11:U11&gt;0))</f>
        <v>0.0078125</v>
      </c>
    </row>
    <row r="12" customFormat="false" ht="15" hidden="false" customHeight="false" outlineLevel="0" collapsed="false">
      <c r="A12" s="7" t="s">
        <v>67</v>
      </c>
      <c r="B12" s="24" t="n">
        <f aca="false">Reels_FS!$Q$13</f>
        <v>0.125</v>
      </c>
      <c r="C12" s="24" t="n">
        <f aca="false">Reels_FS!$R$13</f>
        <v>0.107142857142857</v>
      </c>
      <c r="D12" s="24" t="n">
        <f aca="false">Reels_FS!$S$13</f>
        <v>0.107142857142857</v>
      </c>
      <c r="E12" s="24" t="n">
        <f aca="false">Reels_FS!$T$13</f>
        <v>0.107142857142857</v>
      </c>
      <c r="F12" s="24" t="n">
        <f aca="false">Reels_FS!$U$13</f>
        <v>0.125</v>
      </c>
      <c r="G12" s="24" t="n">
        <f aca="false">Reels_FS!$R$5</f>
        <v>0.142857142857143</v>
      </c>
      <c r="H12" s="24" t="n">
        <f aca="false">Reels_FS!$S$5</f>
        <v>0.142857142857143</v>
      </c>
      <c r="I12" s="24" t="n">
        <f aca="false">Reels_FS!$T$5</f>
        <v>0.142857142857143</v>
      </c>
      <c r="J12" s="24" t="n">
        <f aca="false">Reels_FS!$U$5</f>
        <v>0</v>
      </c>
      <c r="K12" s="13" t="n">
        <f aca="false">B12</f>
        <v>0.125</v>
      </c>
      <c r="L12" s="13" t="n">
        <f aca="false">K12*(C12+G12)</f>
        <v>0.03125</v>
      </c>
      <c r="M12" s="13" t="n">
        <f aca="false">L12*(D12+H12)</f>
        <v>0.0078125</v>
      </c>
      <c r="N12" s="13" t="n">
        <f aca="false">M12*(E12+I12)</f>
        <v>0.001953125</v>
      </c>
      <c r="O12" s="13" t="n">
        <f aca="false">N12*(F12+J12)</f>
        <v>0.000244140625</v>
      </c>
      <c r="P12" s="13" t="n">
        <f aca="false">M12-N12</f>
        <v>0.005859375</v>
      </c>
      <c r="Q12" s="13" t="n">
        <f aca="false">N12-O12</f>
        <v>0.001708984375</v>
      </c>
      <c r="R12" s="13" t="n">
        <f aca="false">O12</f>
        <v>0.000244140625</v>
      </c>
      <c r="S12" s="25" t="n">
        <f aca="false">Paytable!$C$13</f>
        <v>0.3</v>
      </c>
      <c r="T12" s="25" t="n">
        <f aca="false">Paytable!$D$13</f>
        <v>0.8</v>
      </c>
      <c r="U12" s="25" t="n">
        <f aca="false">Paytable!$E$13</f>
        <v>3</v>
      </c>
      <c r="V12" s="13" t="n">
        <f aca="false">SUMPRODUCT(P12:R12,S12:U12)</f>
        <v>0.003857421875</v>
      </c>
      <c r="W12" s="13" t="n">
        <f aca="false">SUMPRODUCT(P12:R12,--(S12:U12&gt;0))</f>
        <v>0.0078125</v>
      </c>
    </row>
    <row r="13" customFormat="false" ht="15" hidden="false" customHeight="false" outlineLevel="0" collapsed="false">
      <c r="A13" s="7" t="s">
        <v>68</v>
      </c>
      <c r="B13" s="24" t="n">
        <f aca="false">Reels_FS!$Q$14</f>
        <v>0.0833333333333333</v>
      </c>
      <c r="C13" s="24" t="n">
        <f aca="false">Reels_FS!$R$14</f>
        <v>0.0714285714285714</v>
      </c>
      <c r="D13" s="24" t="n">
        <f aca="false">Reels_FS!$S$14</f>
        <v>0.0714285714285714</v>
      </c>
      <c r="E13" s="24" t="n">
        <f aca="false">Reels_FS!$T$14</f>
        <v>0.0714285714285714</v>
      </c>
      <c r="F13" s="24" t="n">
        <f aca="false">Reels_FS!$U$14</f>
        <v>0.0833333333333333</v>
      </c>
      <c r="G13" s="24" t="n">
        <f aca="false">Reels_FS!$R$5</f>
        <v>0.142857142857143</v>
      </c>
      <c r="H13" s="24" t="n">
        <f aca="false">Reels_FS!$S$5</f>
        <v>0.142857142857143</v>
      </c>
      <c r="I13" s="24" t="n">
        <f aca="false">Reels_FS!$T$5</f>
        <v>0.142857142857143</v>
      </c>
      <c r="J13" s="24" t="n">
        <f aca="false">Reels_FS!$U$5</f>
        <v>0</v>
      </c>
      <c r="K13" s="13" t="n">
        <f aca="false">B13</f>
        <v>0.0833333333333333</v>
      </c>
      <c r="L13" s="13" t="n">
        <f aca="false">K13*(C13+G13)</f>
        <v>0.0178571428571429</v>
      </c>
      <c r="M13" s="13" t="n">
        <f aca="false">L13*(D13+H13)</f>
        <v>0.0038265306122449</v>
      </c>
      <c r="N13" s="13" t="n">
        <f aca="false">M13*(E13+I13)</f>
        <v>0.000819970845481049</v>
      </c>
      <c r="O13" s="13" t="n">
        <f aca="false">N13*(F13+J13)</f>
        <v>6.83309037900874E-005</v>
      </c>
      <c r="P13" s="13" t="n">
        <f aca="false">M13-N13</f>
        <v>0.00300655976676385</v>
      </c>
      <c r="Q13" s="13" t="n">
        <f aca="false">N13-O13</f>
        <v>0.000751639941690962</v>
      </c>
      <c r="R13" s="13" t="n">
        <f aca="false">O13</f>
        <v>6.83309037900874E-005</v>
      </c>
      <c r="S13" s="25" t="n">
        <f aca="false">Paytable!$C$14</f>
        <v>0.2</v>
      </c>
      <c r="T13" s="25" t="n">
        <f aca="false">Paytable!$D$14</f>
        <v>0.6</v>
      </c>
      <c r="U13" s="25" t="n">
        <f aca="false">Paytable!$E$14</f>
        <v>2.5</v>
      </c>
      <c r="V13" s="13" t="n">
        <f aca="false">SUMPRODUCT(P13:R13,S13:U13)</f>
        <v>0.00122312317784257</v>
      </c>
      <c r="W13" s="13" t="n">
        <f aca="false">SUMPRODUCT(P13:R13,--(S13:U13&gt;0))</f>
        <v>0.0038265306122449</v>
      </c>
    </row>
    <row r="14" customFormat="false" ht="15" hidden="false" customHeight="false" outlineLevel="0" collapsed="false">
      <c r="A14" s="7" t="s">
        <v>122</v>
      </c>
      <c r="V14" s="26" t="n">
        <f aca="false">SUM(V6:V13)</f>
        <v>0.0989282013028426</v>
      </c>
      <c r="W14" s="26" t="n">
        <f aca="false">SUM(W6:W13)</f>
        <v>0.0585140306122449</v>
      </c>
    </row>
    <row r="15" customFormat="false" ht="15" hidden="false" customHeight="false" outlineLevel="0" collapsed="false">
      <c r="A15" s="2" t="s">
        <v>123</v>
      </c>
      <c r="V15" s="7" t="str">
        <f aca="false">IF(Reels_FS!$Q$5=0,"OK","INVALID: wild on reel 1")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10" min="5" style="0" width="12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7" t="s">
        <v>128</v>
      </c>
    </row>
    <row r="5" customFormat="false" ht="26.85" hidden="false" customHeight="false" outlineLevel="0" collapsed="false">
      <c r="A5" s="3" t="s">
        <v>129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3" t="s">
        <v>138</v>
      </c>
    </row>
    <row r="6" customFormat="false" ht="15" hidden="false" customHeight="false" outlineLevel="0" collapsed="false">
      <c r="A6" s="7" t="n">
        <v>0</v>
      </c>
      <c r="E6" s="27" t="n">
        <v>1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</row>
    <row r="7" customFormat="false" ht="15" hidden="false" customHeight="false" outlineLevel="0" collapsed="false">
      <c r="A7" s="7" t="n">
        <v>1</v>
      </c>
      <c r="B7" s="14" t="n">
        <f aca="false">Reels_Base!$J$6</f>
        <v>1</v>
      </c>
      <c r="C7" s="14" t="n">
        <f aca="false">Reels_Base!$J$15</f>
        <v>36</v>
      </c>
      <c r="D7" s="13" t="n">
        <f aca="false">Paytable!$B$26*B7/C7</f>
        <v>0.0833333333333333</v>
      </c>
      <c r="E7" s="13" t="n">
        <f aca="false">E6*(1-$D7)</f>
        <v>0.916666666666667</v>
      </c>
      <c r="F7" s="13" t="n">
        <f aca="false">F6*(1-$D7)+E6*$D7</f>
        <v>0.0833333333333333</v>
      </c>
      <c r="G7" s="13" t="n">
        <f aca="false">G6*(1-$D7)+F6*$D7</f>
        <v>0</v>
      </c>
      <c r="H7" s="13" t="n">
        <f aca="false">H6*(1-$D7)+G6*$D7</f>
        <v>0</v>
      </c>
      <c r="I7" s="13" t="n">
        <f aca="false">I6*(1-$D7)+H6*$D7</f>
        <v>0</v>
      </c>
      <c r="J7" s="13" t="n">
        <f aca="false">J6*(1-$D7)+I6*$D7</f>
        <v>0</v>
      </c>
    </row>
    <row r="8" customFormat="false" ht="15" hidden="false" customHeight="false" outlineLevel="0" collapsed="false">
      <c r="A8" s="7" t="n">
        <v>2</v>
      </c>
      <c r="B8" s="14" t="n">
        <f aca="false">Reels_Base!$K$6</f>
        <v>1</v>
      </c>
      <c r="C8" s="14" t="n">
        <f aca="false">Reels_Base!$K$15</f>
        <v>36</v>
      </c>
      <c r="D8" s="13" t="n">
        <f aca="false">Paytable!$B$26*B8/C8</f>
        <v>0.0833333333333333</v>
      </c>
      <c r="E8" s="13" t="n">
        <f aca="false">E7*(1-$D8)</f>
        <v>0.840277777777778</v>
      </c>
      <c r="F8" s="13" t="n">
        <f aca="false">F7*(1-$D8)+E7*$D8</f>
        <v>0.152777777777778</v>
      </c>
      <c r="G8" s="13" t="n">
        <f aca="false">G7*(1-$D8)+F7*$D8</f>
        <v>0.00694444444444444</v>
      </c>
      <c r="H8" s="13" t="n">
        <f aca="false">H7*(1-$D8)+G7*$D8</f>
        <v>0</v>
      </c>
      <c r="I8" s="13" t="n">
        <f aca="false">I7*(1-$D8)+H7*$D8</f>
        <v>0</v>
      </c>
      <c r="J8" s="13" t="n">
        <f aca="false">J7*(1-$D8)+I7*$D8</f>
        <v>0</v>
      </c>
    </row>
    <row r="9" customFormat="false" ht="15" hidden="false" customHeight="false" outlineLevel="0" collapsed="false">
      <c r="A9" s="7" t="n">
        <v>3</v>
      </c>
      <c r="B9" s="14" t="n">
        <f aca="false">Reels_Base!$L$6</f>
        <v>1</v>
      </c>
      <c r="C9" s="14" t="n">
        <f aca="false">Reels_Base!$L$15</f>
        <v>36</v>
      </c>
      <c r="D9" s="13" t="n">
        <f aca="false">Paytable!$B$26*B9/C9</f>
        <v>0.0833333333333333</v>
      </c>
      <c r="E9" s="13" t="n">
        <f aca="false">E8*(1-$D9)</f>
        <v>0.77025462962963</v>
      </c>
      <c r="F9" s="13" t="n">
        <f aca="false">F8*(1-$D9)+E8*$D9</f>
        <v>0.210069444444444</v>
      </c>
      <c r="G9" s="13" t="n">
        <f aca="false">G8*(1-$D9)+F8*$D9</f>
        <v>0.0190972222222222</v>
      </c>
      <c r="H9" s="13" t="n">
        <f aca="false">H8*(1-$D9)+G8*$D9</f>
        <v>0.000578703703703704</v>
      </c>
      <c r="I9" s="13" t="n">
        <f aca="false">I8*(1-$D9)+H8*$D9</f>
        <v>0</v>
      </c>
      <c r="J9" s="13" t="n">
        <f aca="false">J8*(1-$D9)+I8*$D9</f>
        <v>0</v>
      </c>
    </row>
    <row r="10" customFormat="false" ht="15" hidden="false" customHeight="false" outlineLevel="0" collapsed="false">
      <c r="A10" s="7" t="n">
        <v>4</v>
      </c>
      <c r="B10" s="14" t="n">
        <f aca="false">Reels_Base!$M$6</f>
        <v>1</v>
      </c>
      <c r="C10" s="14" t="n">
        <f aca="false">Reels_Base!$M$15</f>
        <v>35</v>
      </c>
      <c r="D10" s="13" t="n">
        <f aca="false">Paytable!$B$26*B10/C10</f>
        <v>0.0857142857142857</v>
      </c>
      <c r="E10" s="13" t="n">
        <f aca="false">E9*(1-$D10)</f>
        <v>0.704232804232804</v>
      </c>
      <c r="F10" s="13" t="n">
        <f aca="false">F9*(1-$D10)+E9*$D10</f>
        <v>0.258085317460317</v>
      </c>
      <c r="G10" s="13" t="n">
        <f aca="false">G9*(1-$D10)+F9*$D10</f>
        <v>0.0354662698412698</v>
      </c>
      <c r="H10" s="13" t="n">
        <f aca="false">H9*(1-$D10)+G9*$D10</f>
        <v>0.00216600529100529</v>
      </c>
      <c r="I10" s="13" t="n">
        <f aca="false">I9*(1-$D10)+H9*$D10</f>
        <v>4.96031746031746E-005</v>
      </c>
      <c r="J10" s="13" t="n">
        <f aca="false">J9*(1-$D10)+I9*$D10</f>
        <v>0</v>
      </c>
    </row>
    <row r="11" customFormat="false" ht="15" hidden="false" customHeight="false" outlineLevel="0" collapsed="false">
      <c r="A11" s="7" t="n">
        <v>5</v>
      </c>
      <c r="B11" s="14" t="n">
        <f aca="false">Reels_Base!$N$6</f>
        <v>1</v>
      </c>
      <c r="C11" s="14" t="n">
        <f aca="false">Reels_Base!$N$15</f>
        <v>34</v>
      </c>
      <c r="D11" s="13" t="n">
        <f aca="false">Paytable!$B$26*B11/C11</f>
        <v>0.0882352941176471</v>
      </c>
      <c r="E11" s="13" t="n">
        <f aca="false">E10*(1-$D11)</f>
        <v>0.642094615624027</v>
      </c>
      <c r="F11" s="13" t="n">
        <f aca="false">F10*(1-$D11)+E10*$D11</f>
        <v>0.297451272175537</v>
      </c>
      <c r="G11" s="13" t="n">
        <f aca="false">G10*(1-$D11)+F10*$D11</f>
        <v>0.055109126984127</v>
      </c>
      <c r="H11" s="13" t="n">
        <f aca="false">H10*(1-$D11)+G10*$D11</f>
        <v>0.00510426392779334</v>
      </c>
      <c r="I11" s="13" t="n">
        <f aca="false">I10*(1-$D11)+H10*$D11</f>
        <v>0.000236344537815126</v>
      </c>
      <c r="J11" s="13" t="n">
        <f aca="false">J10*(1-$D11)+I10*$D11</f>
        <v>4.37675070028011E-006</v>
      </c>
    </row>
    <row r="12" customFormat="false" ht="15" hidden="false" customHeight="false" outlineLevel="0" collapsed="false">
      <c r="A12" s="7" t="s">
        <v>95</v>
      </c>
      <c r="E12" s="13" t="n">
        <f aca="false">SUM(E11:J11)</f>
        <v>1</v>
      </c>
    </row>
    <row r="14" customFormat="false" ht="15" hidden="false" customHeight="false" outlineLevel="0" collapsed="false">
      <c r="A14" s="7" t="s">
        <v>139</v>
      </c>
    </row>
    <row r="15" customFormat="false" ht="15" hidden="false" customHeight="false" outlineLevel="0" collapsed="false">
      <c r="A15" s="3" t="s">
        <v>70</v>
      </c>
      <c r="B15" s="3" t="s">
        <v>140</v>
      </c>
      <c r="C15" s="3" t="s">
        <v>141</v>
      </c>
      <c r="D15" s="3" t="s">
        <v>71</v>
      </c>
      <c r="E15" s="3" t="s">
        <v>142</v>
      </c>
      <c r="F15" s="3" t="s">
        <v>143</v>
      </c>
    </row>
    <row r="16" customFormat="false" ht="15" hidden="false" customHeight="false" outlineLevel="0" collapsed="false">
      <c r="A16" s="7" t="n">
        <v>3</v>
      </c>
      <c r="B16" s="28" t="n">
        <f aca="false">Scatters!$H$11</f>
        <v>0.00510426392779334</v>
      </c>
      <c r="C16" s="29" t="n">
        <f aca="false">1/B16</f>
        <v>195.914634146341</v>
      </c>
      <c r="D16" s="25" t="n">
        <f aca="false">Paytable!$B$19</f>
        <v>2</v>
      </c>
      <c r="E16" s="30" t="n">
        <f aca="false">B16*D16</f>
        <v>0.0102085278555867</v>
      </c>
      <c r="F16" s="14" t="n">
        <f aca="false">Paytable!$C$19</f>
        <v>10</v>
      </c>
    </row>
    <row r="17" customFormat="false" ht="15" hidden="false" customHeight="false" outlineLevel="0" collapsed="false">
      <c r="A17" s="7" t="n">
        <v>4</v>
      </c>
      <c r="B17" s="28" t="n">
        <f aca="false">Scatters!$I$11</f>
        <v>0.000236344537815126</v>
      </c>
      <c r="C17" s="29" t="n">
        <f aca="false">1/B17</f>
        <v>4231.11111111111</v>
      </c>
      <c r="D17" s="25" t="n">
        <f aca="false">Paytable!$B$20</f>
        <v>10</v>
      </c>
      <c r="E17" s="30" t="n">
        <f aca="false">B17*D17</f>
        <v>0.00236344537815126</v>
      </c>
      <c r="F17" s="14" t="n">
        <f aca="false">Paytable!$C$20</f>
        <v>15</v>
      </c>
    </row>
    <row r="18" customFormat="false" ht="15" hidden="false" customHeight="false" outlineLevel="0" collapsed="false">
      <c r="A18" s="7" t="n">
        <v>5</v>
      </c>
      <c r="B18" s="28" t="n">
        <f aca="false">Scatters!$J$11</f>
        <v>4.37675070028011E-006</v>
      </c>
      <c r="C18" s="29" t="n">
        <f aca="false">1/B18</f>
        <v>228480</v>
      </c>
      <c r="D18" s="25" t="n">
        <f aca="false">Paytable!$B$21</f>
        <v>50</v>
      </c>
      <c r="E18" s="30" t="n">
        <f aca="false">B18*D18</f>
        <v>0.000218837535014006</v>
      </c>
      <c r="F18" s="14" t="n">
        <f aca="false">Paytable!$C$21</f>
        <v>20</v>
      </c>
    </row>
    <row r="19" customFormat="false" ht="15" hidden="false" customHeight="false" outlineLevel="0" collapsed="false">
      <c r="A19" s="7" t="s">
        <v>144</v>
      </c>
      <c r="B19" s="31" t="n">
        <f aca="false">SUM(B16:B18)</f>
        <v>0.00534498521630875</v>
      </c>
      <c r="C19" s="10" t="n">
        <f aca="false">1/B19</f>
        <v>187.091256482577</v>
      </c>
    </row>
    <row r="20" customFormat="false" ht="15" hidden="false" customHeight="false" outlineLevel="0" collapsed="false">
      <c r="A20" s="7" t="s">
        <v>145</v>
      </c>
      <c r="E20" s="32" t="n">
        <f aca="false">SUM(E16:E18)</f>
        <v>0.0127908107687519</v>
      </c>
    </row>
    <row r="23" customFormat="false" ht="15" hidden="false" customHeight="false" outlineLevel="0" collapsed="false">
      <c r="A23" s="7" t="s">
        <v>146</v>
      </c>
    </row>
    <row r="24" customFormat="false" ht="26.85" hidden="false" customHeight="false" outlineLevel="0" collapsed="false">
      <c r="A24" s="3" t="s">
        <v>129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3" t="s">
        <v>135</v>
      </c>
      <c r="H24" s="3" t="s">
        <v>136</v>
      </c>
      <c r="I24" s="3" t="s">
        <v>137</v>
      </c>
      <c r="J24" s="3" t="s">
        <v>138</v>
      </c>
    </row>
    <row r="25" customFormat="false" ht="15" hidden="false" customHeight="false" outlineLevel="0" collapsed="false">
      <c r="A25" s="7" t="n">
        <v>0</v>
      </c>
      <c r="E25" s="27" t="n">
        <v>1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</row>
    <row r="26" customFormat="false" ht="15" hidden="false" customHeight="false" outlineLevel="0" collapsed="false">
      <c r="A26" s="7" t="n">
        <v>1</v>
      </c>
      <c r="B26" s="14" t="n">
        <f aca="false">Reels_FS!$J$6</f>
        <v>1</v>
      </c>
      <c r="C26" s="14" t="n">
        <f aca="false">Reels_FS!$J$15</f>
        <v>24</v>
      </c>
      <c r="D26" s="13" t="n">
        <f aca="false">Paytable!$B$26*B26/C26</f>
        <v>0.125</v>
      </c>
      <c r="E26" s="13" t="n">
        <f aca="false">E25*(1-$D26)</f>
        <v>0.875</v>
      </c>
      <c r="F26" s="13" t="n">
        <f aca="false">F25*(1-$D26)+E25*$D26</f>
        <v>0.125</v>
      </c>
      <c r="G26" s="13" t="n">
        <f aca="false">G25*(1-$D26)+F25*$D26</f>
        <v>0</v>
      </c>
      <c r="H26" s="13" t="n">
        <f aca="false">H25*(1-$D26)+G25*$D26</f>
        <v>0</v>
      </c>
      <c r="I26" s="13" t="n">
        <f aca="false">I25*(1-$D26)+H25*$D26</f>
        <v>0</v>
      </c>
      <c r="J26" s="13" t="n">
        <f aca="false">J25*(1-$D26)+I25*$D26</f>
        <v>0</v>
      </c>
    </row>
    <row r="27" customFormat="false" ht="15" hidden="false" customHeight="false" outlineLevel="0" collapsed="false">
      <c r="A27" s="7" t="n">
        <v>2</v>
      </c>
      <c r="B27" s="14" t="n">
        <f aca="false">Reels_FS!$K$6</f>
        <v>1</v>
      </c>
      <c r="C27" s="14" t="n">
        <f aca="false">Reels_FS!$K$15</f>
        <v>28</v>
      </c>
      <c r="D27" s="13" t="n">
        <f aca="false">Paytable!$B$26*B27/C27</f>
        <v>0.107142857142857</v>
      </c>
      <c r="E27" s="13" t="n">
        <f aca="false">E26*(1-$D27)</f>
        <v>0.78125</v>
      </c>
      <c r="F27" s="13" t="n">
        <f aca="false">F26*(1-$D27)+E26*$D27</f>
        <v>0.205357142857143</v>
      </c>
      <c r="G27" s="13" t="n">
        <f aca="false">G26*(1-$D27)+F26*$D27</f>
        <v>0.0133928571428571</v>
      </c>
      <c r="H27" s="13" t="n">
        <f aca="false">H26*(1-$D27)+G26*$D27</f>
        <v>0</v>
      </c>
      <c r="I27" s="13" t="n">
        <f aca="false">I26*(1-$D27)+H26*$D27</f>
        <v>0</v>
      </c>
      <c r="J27" s="13" t="n">
        <f aca="false">J26*(1-$D27)+I26*$D27</f>
        <v>0</v>
      </c>
    </row>
    <row r="28" customFormat="false" ht="15" hidden="false" customHeight="false" outlineLevel="0" collapsed="false">
      <c r="A28" s="7" t="n">
        <v>3</v>
      </c>
      <c r="B28" s="14" t="n">
        <f aca="false">Reels_FS!$L$6</f>
        <v>1</v>
      </c>
      <c r="C28" s="14" t="n">
        <f aca="false">Reels_FS!$L$15</f>
        <v>28</v>
      </c>
      <c r="D28" s="13" t="n">
        <f aca="false">Paytable!$B$26*B28/C28</f>
        <v>0.107142857142857</v>
      </c>
      <c r="E28" s="13" t="n">
        <f aca="false">E27*(1-$D28)</f>
        <v>0.697544642857143</v>
      </c>
      <c r="F28" s="13" t="n">
        <f aca="false">F27*(1-$D28)+E27*$D28</f>
        <v>0.267059948979592</v>
      </c>
      <c r="G28" s="13" t="n">
        <f aca="false">G27*(1-$D28)+F27*$D28</f>
        <v>0.0339604591836735</v>
      </c>
      <c r="H28" s="13" t="n">
        <f aca="false">H27*(1-$D28)+G27*$D28</f>
        <v>0.00143494897959184</v>
      </c>
      <c r="I28" s="13" t="n">
        <f aca="false">I27*(1-$D28)+H27*$D28</f>
        <v>0</v>
      </c>
      <c r="J28" s="13" t="n">
        <f aca="false">J27*(1-$D28)+I27*$D28</f>
        <v>0</v>
      </c>
    </row>
    <row r="29" customFormat="false" ht="15" hidden="false" customHeight="false" outlineLevel="0" collapsed="false">
      <c r="A29" s="7" t="n">
        <v>4</v>
      </c>
      <c r="B29" s="14" t="n">
        <f aca="false">Reels_FS!$M$6</f>
        <v>1</v>
      </c>
      <c r="C29" s="14" t="n">
        <f aca="false">Reels_FS!$M$15</f>
        <v>28</v>
      </c>
      <c r="D29" s="13" t="n">
        <f aca="false">Paytable!$B$26*B29/C29</f>
        <v>0.107142857142857</v>
      </c>
      <c r="E29" s="13" t="n">
        <f aca="false">E28*(1-$D29)</f>
        <v>0.622807716836735</v>
      </c>
      <c r="F29" s="13" t="n">
        <f aca="false">F28*(1-$D29)+E28*$D29</f>
        <v>0.313183309037901</v>
      </c>
      <c r="G29" s="13" t="n">
        <f aca="false">G28*(1-$D29)+F28*$D29</f>
        <v>0.0589354045189504</v>
      </c>
      <c r="H29" s="13" t="n">
        <f aca="false">H28*(1-$D29)+G28*$D29</f>
        <v>0.0049198250728863</v>
      </c>
      <c r="I29" s="13" t="n">
        <f aca="false">I28*(1-$D29)+H28*$D29</f>
        <v>0.000153744533527697</v>
      </c>
      <c r="J29" s="13" t="n">
        <f aca="false">J28*(1-$D29)+I28*$D29</f>
        <v>0</v>
      </c>
    </row>
    <row r="30" customFormat="false" ht="15" hidden="false" customHeight="false" outlineLevel="0" collapsed="false">
      <c r="A30" s="7" t="n">
        <v>5</v>
      </c>
      <c r="B30" s="14" t="n">
        <f aca="false">Reels_FS!$N$6</f>
        <v>1</v>
      </c>
      <c r="C30" s="14" t="n">
        <f aca="false">Reels_FS!$N$15</f>
        <v>24</v>
      </c>
      <c r="D30" s="13" t="n">
        <f aca="false">Paytable!$B$26*B30/C30</f>
        <v>0.125</v>
      </c>
      <c r="E30" s="13" t="n">
        <f aca="false">E29*(1-$D30)</f>
        <v>0.544956752232143</v>
      </c>
      <c r="F30" s="13" t="n">
        <f aca="false">F29*(1-$D30)+E29*$D30</f>
        <v>0.351886360012755</v>
      </c>
      <c r="G30" s="13" t="n">
        <f aca="false">G29*(1-$D30)+F29*$D30</f>
        <v>0.0907163925838193</v>
      </c>
      <c r="H30" s="13" t="n">
        <f aca="false">H29*(1-$D30)+G29*$D30</f>
        <v>0.0116717725036443</v>
      </c>
      <c r="I30" s="13" t="n">
        <f aca="false">I29*(1-$D30)+H29*$D30</f>
        <v>0.000749504600947522</v>
      </c>
      <c r="J30" s="13" t="n">
        <f aca="false">J29*(1-$D30)+I29*$D30</f>
        <v>1.92180666909621E-005</v>
      </c>
    </row>
    <row r="31" customFormat="false" ht="15" hidden="false" customHeight="false" outlineLevel="0" collapsed="false">
      <c r="A31" s="7" t="s">
        <v>95</v>
      </c>
      <c r="E31" s="13" t="n">
        <f aca="false">SUM(E30:J30)</f>
        <v>1</v>
      </c>
    </row>
    <row r="33" customFormat="false" ht="15" hidden="false" customHeight="false" outlineLevel="0" collapsed="false">
      <c r="A33" s="7" t="s">
        <v>147</v>
      </c>
      <c r="B33" s="31" t="n">
        <f aca="false">Scatters!$H$30+Scatters!$I$30+Scatters!$J$30</f>
        <v>0.0124404951712828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6" min="2" style="0" width="9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3" customFormat="false" ht="15" hidden="false" customHeight="false" outlineLevel="0" collapsed="false">
      <c r="A3" s="2" t="s">
        <v>150</v>
      </c>
    </row>
    <row r="5" customFormat="false" ht="77.6" hidden="false" customHeight="false" outlineLevel="0" collapsed="false">
      <c r="A5" s="3" t="s">
        <v>151</v>
      </c>
      <c r="B5" s="3" t="s">
        <v>152</v>
      </c>
      <c r="C5" s="3" t="s">
        <v>153</v>
      </c>
      <c r="D5" s="3" t="s">
        <v>154</v>
      </c>
    </row>
    <row r="6" customFormat="false" ht="15" hidden="false" customHeight="false" outlineLevel="0" collapsed="false">
      <c r="A6" s="7" t="s">
        <v>155</v>
      </c>
      <c r="B6" s="33" t="n">
        <v>0.00479739887026239</v>
      </c>
      <c r="C6" s="33" t="n">
        <v>0.0202208385214205</v>
      </c>
      <c r="D6" s="2" t="s">
        <v>156</v>
      </c>
    </row>
    <row r="7" customFormat="false" ht="15" hidden="false" customHeight="false" outlineLevel="0" collapsed="false">
      <c r="A7" s="7" t="s">
        <v>157</v>
      </c>
      <c r="B7" s="33" t="n">
        <v>0.470595883442663</v>
      </c>
      <c r="C7" s="33" t="n">
        <v>1.95834318753543</v>
      </c>
      <c r="D7" s="2" t="s">
        <v>156</v>
      </c>
    </row>
    <row r="8" customFormat="false" ht="15" hidden="false" customHeight="false" outlineLevel="0" collapsed="false">
      <c r="A8" s="7" t="s">
        <v>158</v>
      </c>
      <c r="B8" s="33" t="n">
        <v>0.00764309630102041</v>
      </c>
      <c r="C8" s="33" t="n">
        <v>0</v>
      </c>
      <c r="D8" s="2" t="s">
        <v>156</v>
      </c>
    </row>
    <row r="9" customFormat="false" ht="15" hidden="false" customHeight="false" outlineLevel="0" collapsed="false">
      <c r="A9" s="7" t="s">
        <v>159</v>
      </c>
      <c r="B9" s="33" t="n">
        <v>0.516963621386055</v>
      </c>
      <c r="C9" s="33" t="n">
        <v>0</v>
      </c>
      <c r="D9" s="2" t="s">
        <v>156</v>
      </c>
    </row>
    <row r="10" customFormat="false" ht="15" hidden="false" customHeight="false" outlineLevel="0" collapsed="false">
      <c r="A10" s="7" t="s">
        <v>160</v>
      </c>
      <c r="B10" s="34" t="n">
        <f aca="false">SUM(B6:B9)</f>
        <v>1</v>
      </c>
    </row>
    <row r="11" customFormat="false" ht="15" hidden="false" customHeight="false" outlineLevel="0" collapsed="false">
      <c r="A11" s="7" t="s">
        <v>161</v>
      </c>
      <c r="B11" s="34" t="n">
        <f aca="false">B6+B8</f>
        <v>0.0124404951712828</v>
      </c>
      <c r="C11" s="35" t="n">
        <f aca="false">Scatters!$B$33</f>
        <v>0.0124404951712828</v>
      </c>
      <c r="D11" s="7" t="str">
        <f aca="false">IF(ABS(B11-C11)&lt;0.000000001,"OK","MISMATCH")</f>
        <v>OK</v>
      </c>
    </row>
    <row r="12" customFormat="false" ht="15" hidden="false" customHeight="false" outlineLevel="0" collapsed="false">
      <c r="A12" s="7" t="s">
        <v>162</v>
      </c>
      <c r="B12" s="34" t="n">
        <f aca="false">C6+C7</f>
        <v>1.97856402605685</v>
      </c>
      <c r="C12" s="35" t="n">
        <f aca="false">Paytable!$B$27*Lines_FS!$V$14</f>
        <v>1.97856402605685</v>
      </c>
      <c r="D12" s="7" t="str">
        <f aca="false">IF(ABS(B12-C12)&lt;0.000000001,"OK","MISMATCH")</f>
        <v>OK</v>
      </c>
    </row>
    <row r="13" customFormat="false" ht="15" hidden="false" customHeight="false" outlineLevel="0" collapsed="false">
      <c r="A13" s="7" t="s">
        <v>163</v>
      </c>
    </row>
    <row r="14" customFormat="false" ht="15" hidden="false" customHeight="false" outlineLevel="0" collapsed="false">
      <c r="A14" s="7" t="s">
        <v>164</v>
      </c>
      <c r="B14" s="36" t="n">
        <v>1</v>
      </c>
      <c r="C14" s="36" t="n">
        <v>1</v>
      </c>
      <c r="D14" s="36" t="n">
        <v>1</v>
      </c>
      <c r="E14" s="36" t="n">
        <v>1</v>
      </c>
      <c r="F14" s="36" t="n">
        <v>1</v>
      </c>
      <c r="G14" s="36" t="n">
        <v>2</v>
      </c>
      <c r="H14" s="36" t="n">
        <v>2</v>
      </c>
      <c r="I14" s="36" t="n">
        <v>2</v>
      </c>
      <c r="J14" s="36" t="n">
        <v>2</v>
      </c>
      <c r="K14" s="36" t="n">
        <v>2</v>
      </c>
      <c r="L14" s="36" t="n">
        <v>3</v>
      </c>
      <c r="M14" s="36" t="n">
        <v>3</v>
      </c>
      <c r="N14" s="36" t="n">
        <v>3</v>
      </c>
      <c r="O14" s="36" t="n">
        <v>3</v>
      </c>
      <c r="P14" s="36" t="n">
        <v>3</v>
      </c>
      <c r="Q14" s="36" t="n">
        <v>4</v>
      </c>
      <c r="R14" s="36" t="n">
        <v>4</v>
      </c>
      <c r="S14" s="36" t="n">
        <v>4</v>
      </c>
      <c r="T14" s="36" t="n">
        <v>4</v>
      </c>
      <c r="U14" s="36" t="n">
        <v>4</v>
      </c>
      <c r="V14" s="36" t="n">
        <v>5</v>
      </c>
      <c r="W14" s="36" t="n">
        <v>5</v>
      </c>
      <c r="X14" s="36" t="n">
        <v>5</v>
      </c>
      <c r="Y14" s="36" t="n">
        <v>5</v>
      </c>
      <c r="Z14" s="36" t="n">
        <v>5</v>
      </c>
    </row>
    <row r="15" customFormat="false" ht="15" hidden="false" customHeight="false" outlineLevel="0" collapsed="false">
      <c r="A15" s="7" t="s">
        <v>165</v>
      </c>
      <c r="B15" s="36" t="n">
        <v>0</v>
      </c>
      <c r="C15" s="36" t="n">
        <v>1</v>
      </c>
      <c r="D15" s="36" t="n">
        <v>2</v>
      </c>
      <c r="E15" s="36" t="n">
        <v>3</v>
      </c>
      <c r="F15" s="36" t="n">
        <v>4</v>
      </c>
      <c r="G15" s="36" t="n">
        <v>0</v>
      </c>
      <c r="H15" s="36" t="n">
        <v>1</v>
      </c>
      <c r="I15" s="36" t="n">
        <v>2</v>
      </c>
      <c r="J15" s="36" t="n">
        <v>3</v>
      </c>
      <c r="K15" s="36" t="n">
        <v>4</v>
      </c>
      <c r="L15" s="36" t="n">
        <v>0</v>
      </c>
      <c r="M15" s="36" t="n">
        <v>1</v>
      </c>
      <c r="N15" s="36" t="n">
        <v>2</v>
      </c>
      <c r="O15" s="36" t="n">
        <v>3</v>
      </c>
      <c r="P15" s="36" t="n">
        <v>4</v>
      </c>
      <c r="Q15" s="36" t="n">
        <v>0</v>
      </c>
      <c r="R15" s="36" t="n">
        <v>1</v>
      </c>
      <c r="S15" s="36" t="n">
        <v>2</v>
      </c>
      <c r="T15" s="36" t="n">
        <v>3</v>
      </c>
      <c r="U15" s="36" t="n">
        <v>4</v>
      </c>
      <c r="V15" s="36" t="n">
        <v>0</v>
      </c>
      <c r="W15" s="36" t="n">
        <v>1</v>
      </c>
      <c r="X15" s="36" t="n">
        <v>2</v>
      </c>
      <c r="Y15" s="36" t="n">
        <v>3</v>
      </c>
      <c r="Z15" s="36" t="n">
        <v>4</v>
      </c>
    </row>
    <row r="16" customFormat="false" ht="15" hidden="false" customHeight="false" outlineLevel="0" collapsed="false">
      <c r="A16" s="7" t="s">
        <v>166</v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0</v>
      </c>
      <c r="H16" s="37" t="n">
        <v>0</v>
      </c>
      <c r="I16" s="37" t="n">
        <v>0</v>
      </c>
      <c r="J16" s="37" t="n">
        <v>0</v>
      </c>
      <c r="K16" s="37" t="n">
        <v>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7" t="n">
        <v>0</v>
      </c>
      <c r="Y16" s="37" t="n">
        <v>0</v>
      </c>
      <c r="Z16" s="37" t="n">
        <v>0</v>
      </c>
    </row>
    <row r="17" customFormat="false" ht="15" hidden="false" customHeight="false" outlineLevel="0" collapsed="false">
      <c r="A17" s="7" t="n">
        <v>1</v>
      </c>
      <c r="B17" s="38" t="n">
        <f aca="false">1*($C$6+$C$7)+$B$7*G16+$B$9*B16+$B$6*H21+$B$8*C21</f>
        <v>2.3002244326429</v>
      </c>
      <c r="C17" s="38" t="n">
        <f aca="false">1*($C$6+$C$7)+$B$7*H16+$B$9*C16+$B$6*I21+$B$8*D21</f>
        <v>2.29992018688255</v>
      </c>
      <c r="D17" s="38" t="n">
        <f aca="false">1*($C$6+$C$7)+$B$7*I16+$B$9*D16+$B$6*J21+$B$8*E21</f>
        <v>2.29686759020723</v>
      </c>
      <c r="E17" s="38" t="n">
        <f aca="false">1*($C$6+$C$7)+$B$7*J16+$B$9*E16+$B$6*K21+$B$8*F21</f>
        <v>2.2656254108688</v>
      </c>
      <c r="F17" s="38" t="n">
        <f aca="false">1*($C$6+$C$7)+$B$7*K16+$B$9*F16+$B$6*K16+$B$8*F16</f>
        <v>1.97856402605685</v>
      </c>
      <c r="G17" s="38" t="n">
        <f aca="false">2*($C$6+$C$7)+$B$7*L16+$B$9*G16+$B$6*M21+$B$8*H21</f>
        <v>4.40113121408</v>
      </c>
      <c r="H17" s="38" t="n">
        <f aca="false">2*($C$6+$C$7)+$B$7*M16+$B$9*H16+$B$6*N21+$B$8*I21</f>
        <v>4.40082619597788</v>
      </c>
      <c r="I17" s="38" t="n">
        <f aca="false">2*($C$6+$C$7)+$B$7*N16+$B$9*I16+$B$6*O21+$B$8*J21</f>
        <v>4.39771130761247</v>
      </c>
      <c r="J17" s="38" t="n">
        <f aca="false">2*($C$6+$C$7)+$B$7*O16+$B$9*J16+$B$6*P21+$B$8*K21</f>
        <v>4.36284405473108</v>
      </c>
      <c r="K17" s="38" t="n">
        <f aca="false">2*($C$6+$C$7)+$B$7*P16+$B$9*K16+$B$6*P16+$B$8*K16</f>
        <v>3.9571280521137</v>
      </c>
      <c r="L17" s="38" t="n">
        <f aca="false">3*($C$6+$C$7)+$B$7*Q16+$B$9*L16+$B$6*R21+$B$8*M21</f>
        <v>6.48607900309557</v>
      </c>
      <c r="M17" s="38" t="n">
        <f aca="false">3*($C$6+$C$7)+$B$7*R16+$B$9*M16+$B$6*S21+$B$8*N21</f>
        <v>6.48577381862286</v>
      </c>
      <c r="N17" s="38" t="n">
        <f aca="false">3*($C$6+$C$7)+$B$7*S16+$B$9*N16+$B$6*T21+$B$8*O21</f>
        <v>6.48263994864802</v>
      </c>
      <c r="O17" s="38" t="n">
        <f aca="false">3*($C$6+$C$7)+$B$7*T16+$B$9*O16+$B$6*U21+$B$8*P21</f>
        <v>6.44596507213691</v>
      </c>
      <c r="P17" s="38" t="n">
        <f aca="false">3*($C$6+$C$7)+$B$7*U16+$B$9*P16+$B$6*U16+$B$8*P16</f>
        <v>5.93569207817055</v>
      </c>
      <c r="Q17" s="38" t="n">
        <f aca="false">4*($C$6+$C$7)+$B$7*V16+$B$9*Q16+$B$6*W21+$B$8*R21</f>
        <v>8.53976083181515</v>
      </c>
      <c r="R17" s="38" t="n">
        <f aca="false">4*($C$6+$C$7)+$B$7*W16+$B$9*R16+$B$6*X21+$B$8*S21</f>
        <v>8.53945562449006</v>
      </c>
      <c r="S17" s="38" t="n">
        <f aca="false">4*($C$6+$C$7)+$B$7*X16+$B$9*S16+$B$6*Y21+$B$8*T21</f>
        <v>8.5363180942774</v>
      </c>
      <c r="T17" s="38" t="n">
        <f aca="false">4*($C$6+$C$7)+$B$7*Y16+$B$9*T16+$B$6*Z21+$B$8*U21</f>
        <v>8.49906777624774</v>
      </c>
      <c r="U17" s="38" t="n">
        <f aca="false">4*($C$6+$C$7)+$B$7*Z16+$B$9*U16+$B$6*Z16+$B$8*U16</f>
        <v>7.91425610422741</v>
      </c>
      <c r="V17" s="38" t="n">
        <f aca="false">5*($C$6+$C$7)+$B$7*V16+$B$9*V16+$B$6*W21+$B$8*W21</f>
        <v>10.5489573037406</v>
      </c>
      <c r="W17" s="38" t="n">
        <f aca="false">5*($C$6+$C$7)+$B$7*W16+$B$9*W16+$B$6*X21+$B$8*X21</f>
        <v>10.5486520949151</v>
      </c>
      <c r="X17" s="38" t="n">
        <f aca="false">5*($C$6+$C$7)+$B$7*X16+$B$9*X16+$B$6*Y21+$B$8*Y21</f>
        <v>10.5455142308842</v>
      </c>
      <c r="Y17" s="38" t="n">
        <f aca="false">5*($C$6+$C$7)+$B$7*Y16+$B$9*Y16+$B$6*Z21+$B$8*Z21</f>
        <v>10.5081780355901</v>
      </c>
      <c r="Z17" s="38" t="n">
        <f aca="false">5*($C$6+$C$7)+$B$7*Z16+$B$9*Z16+$B$6*Z16+$B$8*Z16</f>
        <v>9.89282013028426</v>
      </c>
    </row>
    <row r="18" customFormat="false" ht="15" hidden="false" customHeight="false" outlineLevel="0" collapsed="false">
      <c r="A18" s="7" t="n">
        <v>2</v>
      </c>
      <c r="B18" s="38" t="n">
        <f aca="false">1*($C$6+$C$7)+$B$7*G17+$B$9*B17+$B$6*H22+$B$8*C22</f>
        <v>5.66007374909446</v>
      </c>
      <c r="C18" s="38" t="n">
        <f aca="false">1*($C$6+$C$7)+$B$7*H17+$B$9*C17+$B$6*I22+$B$8*D22</f>
        <v>5.65937078071199</v>
      </c>
      <c r="D18" s="38" t="n">
        <f aca="false">1*($C$6+$C$7)+$B$7*I17+$B$9*D17+$B$6*J22+$B$8*E22</f>
        <v>5.65239811557527</v>
      </c>
      <c r="E18" s="38" t="n">
        <f aca="false">1*($C$6+$C$7)+$B$7*J17+$B$9*E17+$B$6*K22+$B$8*F22</f>
        <v>5.58052166549023</v>
      </c>
      <c r="F18" s="38" t="n">
        <f aca="false">1*($C$6+$C$7)+$B$7*K17+$B$9*F17+$B$6*K17+$B$8*F17</f>
        <v>4.89772409872715</v>
      </c>
      <c r="G18" s="38" t="n">
        <f aca="false">2*($C$6+$C$7)+$B$7*L17+$B$9*G17+$B$6*M22+$B$8*H22</f>
        <v>9.84581041714122</v>
      </c>
      <c r="H18" s="38" t="n">
        <f aca="false">2*($C$6+$C$7)+$B$7*M17+$B$9*H17+$B$6*N22+$B$8*I22</f>
        <v>9.8451063325845</v>
      </c>
      <c r="I18" s="38" t="n">
        <f aca="false">2*($C$6+$C$7)+$B$7*N17+$B$9*I17+$B$6*O22+$B$8*J22</f>
        <v>9.83803942001353</v>
      </c>
      <c r="J18" s="38" t="n">
        <f aca="false">2*($C$6+$C$7)+$B$7*O17+$B$9*J17+$B$6*P22+$B$8*K22</f>
        <v>9.76014662912425</v>
      </c>
      <c r="K18" s="38" t="n">
        <f aca="false">2*($C$6+$C$7)+$B$7*P17+$B$9*K17+$B$6*P17+$B$8*K17</f>
        <v>8.85485215084085</v>
      </c>
      <c r="L18" s="38" t="n">
        <f aca="false">3*($C$6+$C$7)+$B$7*Q17+$B$9*L17+$B$6*R22+$B$8*M22</f>
        <v>13.9850430124864</v>
      </c>
      <c r="M18" s="38" t="n">
        <f aca="false">3*($C$6+$C$7)+$B$7*R17+$B$9*M17+$B$6*S22+$B$8*N22</f>
        <v>13.9843387017699</v>
      </c>
      <c r="N18" s="38" t="n">
        <f aca="false">3*($C$6+$C$7)+$B$7*S17+$B$9*N17+$B$6*T22+$B$8*O22</f>
        <v>13.9772453585197</v>
      </c>
      <c r="O18" s="38" t="n">
        <f aca="false">3*($C$6+$C$7)+$B$7*T17+$B$9*O17+$B$6*U22+$B$8*P22</f>
        <v>13.8966909240386</v>
      </c>
      <c r="P18" s="38" t="n">
        <f aca="false">3*($C$6+$C$7)+$B$7*U17+$B$9*P17+$B$6*U17+$B$8*P17</f>
        <v>12.8119802029546</v>
      </c>
      <c r="Q18" s="38" t="n">
        <f aca="false">4*($C$6+$C$7)+$B$7*V17+$B$9*Q17+$B$6*W22+$B$8*R22</f>
        <v>18.0494557556412</v>
      </c>
      <c r="R18" s="38" t="n">
        <f aca="false">4*($C$6+$C$7)+$B$7*W17+$B$9*R17+$B$6*X22+$B$8*S22</f>
        <v>18.0487514156611</v>
      </c>
      <c r="S18" s="38" t="n">
        <f aca="false">4*($C$6+$C$7)+$B$7*X17+$B$9*S17+$B$6*Y22+$B$8*T22</f>
        <v>18.0416533765917</v>
      </c>
      <c r="T18" s="38" t="n">
        <f aca="false">4*($C$6+$C$7)+$B$7*Y17+$B$9*T17+$B$6*Z22+$B$8*U22</f>
        <v>17.9603526580698</v>
      </c>
      <c r="U18" s="38" t="n">
        <f aca="false">4*($C$6+$C$7)+$B$7*Z17+$B$9*U17+$B$6*Z17+$B$8*U17</f>
        <v>16.7691082550683</v>
      </c>
      <c r="V18" s="38" t="n">
        <f aca="false">5*($C$6+$C$7)+$B$7*V17+$B$9*V17+$B$6*W22+$B$8*W22</f>
        <v>21.0979022765761</v>
      </c>
      <c r="W18" s="38" t="n">
        <f aca="false">5*($C$6+$C$7)+$B$7*W17+$B$9*W17+$B$6*X22+$B$8*X22</f>
        <v>21.0971979347829</v>
      </c>
      <c r="X18" s="38" t="n">
        <f aca="false">5*($C$6+$C$7)+$B$7*X17+$B$9*X17+$B$6*Y22+$B$8*Y22</f>
        <v>21.0900995002539</v>
      </c>
      <c r="Y18" s="38" t="n">
        <f aca="false">5*($C$6+$C$7)+$B$7*Y17+$B$9*Y17+$B$6*Z22+$B$8*Z22</f>
        <v>21.0087007141306</v>
      </c>
      <c r="Z18" s="38" t="n">
        <f aca="false">5*($C$6+$C$7)+$B$7*Z17+$B$9*Z17+$B$6*Z17+$B$8*Z17</f>
        <v>19.7856402605685</v>
      </c>
    </row>
    <row r="19" customFormat="false" ht="15" hidden="false" customHeight="false" outlineLevel="0" collapsed="false">
      <c r="A19" s="7" t="n">
        <v>3</v>
      </c>
      <c r="B19" s="38" t="n">
        <f aca="false">1*($C$6+$C$7)+$B$7*G18+$B$9*B18+$B$6*H23+$B$8*C23</f>
        <v>10.0674149415082</v>
      </c>
      <c r="C19" s="38" t="n">
        <f aca="false">1*($C$6+$C$7)+$B$7*H18+$B$9*C18+$B$6*I23+$B$8*D23</f>
        <v>10.0662063311356</v>
      </c>
      <c r="D19" s="38" t="n">
        <f aca="false">1*($C$6+$C$7)+$B$7*I18+$B$9*D18+$B$6*J23+$B$8*E23</f>
        <v>10.0543976416936</v>
      </c>
      <c r="E19" s="38" t="n">
        <f aca="false">1*($C$6+$C$7)+$B$7*J18+$B$9*E18+$B$6*K23+$B$8*F23</f>
        <v>9.9331801305545</v>
      </c>
      <c r="F19" s="38" t="n">
        <f aca="false">1*($C$6+$C$7)+$B$7*K18+$B$9*F18+$B$6*K18+$B$8*F18</f>
        <v>8.75748021801088</v>
      </c>
      <c r="G19" s="38" t="n">
        <f aca="false">2*($C$6+$C$7)+$B$7*L18+$B$9*G18+$B$6*M23+$B$8*H23</f>
        <v>16.3114871382826</v>
      </c>
      <c r="H19" s="38" t="n">
        <f aca="false">2*($C$6+$C$7)+$B$7*M18+$B$9*H18+$B$6*N23+$B$8*I23</f>
        <v>16.3102773387221</v>
      </c>
      <c r="I19" s="38" t="n">
        <f aca="false">2*($C$6+$C$7)+$B$7*N18+$B$9*I18+$B$6*O23+$B$8*J23</f>
        <v>16.2983644111618</v>
      </c>
      <c r="J19" s="38" t="n">
        <f aca="false">2*($C$6+$C$7)+$B$7*O18+$B$9*J18+$B$6*P23+$B$8*K23</f>
        <v>16.1699802914253</v>
      </c>
      <c r="K19" s="38" t="n">
        <f aca="false">2*($C$6+$C$7)+$B$7*P18+$B$9*K18+$B$6*P18+$B$8*K18</f>
        <v>14.6931722961814</v>
      </c>
      <c r="L19" s="38" t="n">
        <f aca="false">3*($C$6+$C$7)+$B$7*Q18+$B$9*L18+$B$6*R23+$B$8*M23</f>
        <v>22.4657878095443</v>
      </c>
      <c r="M19" s="38" t="n">
        <f aca="false">3*($C$6+$C$7)+$B$7*R18+$B$9*M18+$B$6*S23+$B$8*N23</f>
        <v>22.4645777825835</v>
      </c>
      <c r="N19" s="38" t="n">
        <f aca="false">3*($C$6+$C$7)+$B$7*S18+$B$9*N18+$B$6*T23+$B$8*O23</f>
        <v>22.4526377997483</v>
      </c>
      <c r="O19" s="38" t="n">
        <f aca="false">3*($C$6+$C$7)+$B$7*T18+$B$9*O18+$B$6*U23+$B$8*P23</f>
        <v>22.3214161981784</v>
      </c>
      <c r="P19" s="38" t="n">
        <f aca="false">3*($C$6+$C$7)+$B$7*U18+$B$9*P18+$B$6*U18+$B$8*P18</f>
        <v>20.628864374352</v>
      </c>
      <c r="Q19" s="38" t="n">
        <f aca="false">4*($C$6+$C$7)+$B$7*V18+$B$9*Q18+$B$6*W23+$B$8*R23</f>
        <v>28.0608376715738</v>
      </c>
      <c r="R19" s="38" t="n">
        <f aca="false">4*($C$6+$C$7)+$B$7*W18+$B$9*R18+$B$6*X23+$B$8*S23</f>
        <v>28.059627616804</v>
      </c>
      <c r="S19" s="38" t="n">
        <f aca="false">4*($C$6+$C$7)+$B$7*X18+$B$9*S18+$B$6*Y23+$B$8*T23</f>
        <v>28.0476831788997</v>
      </c>
      <c r="T19" s="38" t="n">
        <f aca="false">4*($C$6+$C$7)+$B$7*Y18+$B$9*T18+$B$6*Z23+$B$8*U23</f>
        <v>27.9157518547617</v>
      </c>
      <c r="U19" s="38" t="n">
        <f aca="false">4*($C$6+$C$7)+$B$7*Z18+$B$9*U18+$B$6*Z18+$B$8*U18</f>
        <v>26.1174034105924</v>
      </c>
      <c r="V19" s="38" t="n">
        <f aca="false">5*($C$6+$C$7)+$B$7*V18+$B$9*V18+$B$6*W23+$B$8*W23</f>
        <v>31.6468327495853</v>
      </c>
      <c r="W19" s="38" t="n">
        <f aca="false">5*($C$6+$C$7)+$B$7*W18+$B$9*W18+$B$6*X23+$B$8*X23</f>
        <v>31.6456226931846</v>
      </c>
      <c r="X19" s="38" t="n">
        <f aca="false">5*($C$6+$C$7)+$B$7*X18+$B$9*X18+$B$6*Y23+$B$8*Y23</f>
        <v>31.6336779067885</v>
      </c>
      <c r="Y19" s="38" t="n">
        <f aca="false">5*($C$6+$C$7)+$B$7*Y18+$B$9*Y18+$B$6*Z23+$B$8*Z23</f>
        <v>31.501663272054</v>
      </c>
      <c r="Z19" s="38" t="n">
        <f aca="false">5*($C$6+$C$7)+$B$7*Z18+$B$9*Z18+$B$6*Z18+$B$8*Z18</f>
        <v>29.6784603908528</v>
      </c>
    </row>
    <row r="20" customFormat="false" ht="15" hidden="false" customHeight="false" outlineLevel="0" collapsed="false">
      <c r="A20" s="7" t="n">
        <v>4</v>
      </c>
      <c r="B20" s="38" t="n">
        <f aca="false">1*($C$6+$C$7)+$B$7*G19+$B$9*B19+$B$6*H24+$B$8*C24</f>
        <v>15.5035058368669</v>
      </c>
      <c r="C20" s="38" t="n">
        <f aca="false">1*($C$6+$C$7)+$B$7*H19+$B$9*C19+$B$6*I24+$B$8*D24</f>
        <v>15.501671695497</v>
      </c>
      <c r="D20" s="38" t="n">
        <f aca="false">1*($C$6+$C$7)+$B$7*I19+$B$9*D19+$B$6*J24+$B$8*E24</f>
        <v>15.4840628135435</v>
      </c>
      <c r="E20" s="38" t="n">
        <f aca="false">1*($C$6+$C$7)+$B$7*J19+$B$9*E19+$B$6*K24+$B$8*F24</f>
        <v>15.3056218106868</v>
      </c>
      <c r="F20" s="38" t="n">
        <f aca="false">1*($C$6+$C$7)+$B$7*K19+$B$9*F19+$B$6*K19+$B$8*F19</f>
        <v>13.5578323839081</v>
      </c>
      <c r="G20" s="38" t="n">
        <f aca="false">2*($C$6+$C$7)+$B$7*L19+$B$9*G19+$B$6*M24+$B$8*H24</f>
        <v>23.7703265354653</v>
      </c>
      <c r="H20" s="38" t="n">
        <f aca="false">2*($C$6+$C$7)+$B$7*M19+$B$9*H19+$B$6*N24+$B$8*I24</f>
        <v>23.7684912852361</v>
      </c>
      <c r="I20" s="38" t="n">
        <f aca="false">2*($C$6+$C$7)+$B$7*N19+$B$9*I19+$B$6*O24+$B$8*J24</f>
        <v>23.7507822056548</v>
      </c>
      <c r="J20" s="38" t="n">
        <f aca="false">2*($C$6+$C$7)+$B$7*O19+$B$9*J19+$B$6*P24+$B$8*K24</f>
        <v>23.5650318319782</v>
      </c>
      <c r="K20" s="38" t="n">
        <f aca="false">2*($C$6+$C$7)+$B$7*P19+$B$9*K19+$B$6*P19+$B$8*K19</f>
        <v>21.4720884881355</v>
      </c>
      <c r="L20" s="38" t="n">
        <f aca="false">3*($C$6+$C$7)+$B$7*Q19+$B$9*L19+$B$6*R24+$B$8*M24</f>
        <v>31.6911816432617</v>
      </c>
      <c r="M20" s="38" t="n">
        <f aca="false">3*($C$6+$C$7)+$B$7*R19+$B$9*M19+$B$6*S24+$B$8*N24</f>
        <v>31.6893461923193</v>
      </c>
      <c r="N20" s="38" t="n">
        <f aca="false">3*($C$6+$C$7)+$B$7*S19+$B$9*N19+$B$6*T24+$B$8*O24</f>
        <v>31.6716129218901</v>
      </c>
      <c r="O20" s="38" t="n">
        <f aca="false">3*($C$6+$C$7)+$B$7*T19+$B$9*O19+$B$6*U24+$B$8*P24</f>
        <v>31.483250612021</v>
      </c>
      <c r="P20" s="38" t="n">
        <f aca="false">3*($C$6+$C$7)+$B$7*U19+$B$9*P19+$B$6*U19+$B$8*P19</f>
        <v>29.1737710400635</v>
      </c>
      <c r="Q20" s="38" t="n">
        <f aca="false">4*($C$6+$C$7)+$B$7*V19+$B$9*Q19+$B$6*W24+$B$8*R24</f>
        <v>38.3317061162886</v>
      </c>
      <c r="R20" s="38" t="n">
        <f aca="false">4*($C$6+$C$7)+$B$7*W19+$B$9*R19+$B$6*X24+$B$8*S24</f>
        <v>38.3298706420797</v>
      </c>
      <c r="S20" s="38" t="n">
        <f aca="false">4*($C$6+$C$7)+$B$7*X19+$B$9*S19+$B$6*Y24+$B$8*T24</f>
        <v>38.3121336606267</v>
      </c>
      <c r="T20" s="38" t="n">
        <f aca="false">4*($C$6+$C$7)+$B$7*Y19+$B$9*T19+$B$6*Z24+$B$8*U24</f>
        <v>38.1231822718999</v>
      </c>
      <c r="U20" s="38" t="n">
        <f aca="false">4*($C$6+$C$7)+$B$7*Z19+$B$9*U19+$B$6*Z19+$B$8*U19</f>
        <v>35.7245620811691</v>
      </c>
      <c r="V20" s="38" t="n">
        <f aca="false">5*($C$6+$C$7)+$B$7*V19+$B$9*V19+$B$6*W24+$B$8*W24</f>
        <v>42.1957463591679</v>
      </c>
      <c r="W20" s="38" t="n">
        <f aca="false">5*($C$6+$C$7)+$B$7*W19+$B$9*W19+$B$6*X24+$B$8*X24</f>
        <v>42.1939108836634</v>
      </c>
      <c r="X20" s="38" t="n">
        <f aca="false">5*($C$6+$C$7)+$B$7*X19+$B$9*X19+$B$6*Y24+$B$8*Y24</f>
        <v>42.176173631201</v>
      </c>
      <c r="Y20" s="38" t="n">
        <f aca="false">5*($C$6+$C$7)+$B$7*Y19+$B$9*Y19+$B$6*Z24+$B$8*Z24</f>
        <v>41.9871597610043</v>
      </c>
      <c r="Z20" s="38" t="n">
        <f aca="false">5*($C$6+$C$7)+$B$7*Z19+$B$9*Z19+$B$6*Z19+$B$8*Z19</f>
        <v>39.571280521137</v>
      </c>
    </row>
    <row r="21" customFormat="false" ht="15" hidden="false" customHeight="false" outlineLevel="0" collapsed="false">
      <c r="A21" s="7" t="n">
        <v>5</v>
      </c>
      <c r="B21" s="38" t="n">
        <f aca="false">1*($C$6+$C$7)+$B$7*G20+$B$9*B20+$B$6*H25+$B$8*C25</f>
        <v>21.9438680904089</v>
      </c>
      <c r="C21" s="38" t="n">
        <f aca="false">1*($C$6+$C$7)+$B$7*H20+$B$9*C20+$B$6*I25+$B$8*D25</f>
        <v>21.9412750777764</v>
      </c>
      <c r="D21" s="38" t="n">
        <f aca="false">1*($C$6+$C$7)+$B$7*I20+$B$9*D20+$B$6*J25+$B$8*E25</f>
        <v>21.9168531313117</v>
      </c>
      <c r="E21" s="38" t="n">
        <f aca="false">1*($C$6+$C$7)+$B$7*J20+$B$9*E20+$B$6*K25+$B$8*F25</f>
        <v>21.6740876649798</v>
      </c>
      <c r="F21" s="38" t="n">
        <f aca="false">1*($C$6+$C$7)+$B$7*K20+$B$9*F20+$B$6*K20+$B$8*F20</f>
        <v>19.2987805964187</v>
      </c>
      <c r="G21" s="38" t="n">
        <f aca="false">2*($C$6+$C$7)+$B$7*L20+$B$9*G20+$B$6*M25+$B$8*H25</f>
        <v>32.0952200691534</v>
      </c>
      <c r="H21" s="38" t="n">
        <f aca="false">2*($C$6+$C$7)+$B$7*M20+$B$9*H20+$B$6*N25+$B$8*I25</f>
        <v>32.0926261007367</v>
      </c>
      <c r="I21" s="38" t="n">
        <f aca="false">2*($C$6+$C$7)+$B$7*N20+$B$9*I20+$B$6*O25+$B$8*J25</f>
        <v>32.0681156368696</v>
      </c>
      <c r="J21" s="38" t="n">
        <f aca="false">2*($C$6+$C$7)+$B$7*O20+$B$9*J20+$B$6*P25+$B$8*K25</f>
        <v>31.8185810724194</v>
      </c>
      <c r="K21" s="38" t="n">
        <f aca="false">2*($C$6+$C$7)+$B$7*P20+$B$9*K20+$B$6*P20+$B$8*K20</f>
        <v>29.0905446879424</v>
      </c>
      <c r="L21" s="38" t="n">
        <f aca="false">3*($C$6+$C$7)+$B$7*Q20+$B$9*L20+$B$6*R25+$B$8*M25</f>
        <v>41.4242343797004</v>
      </c>
      <c r="M21" s="38" t="n">
        <f aca="false">3*($C$6+$C$7)+$B$7*R20+$B$9*M20+$B$6*S25+$B$8*N25</f>
        <v>41.4216402470739</v>
      </c>
      <c r="N21" s="38" t="n">
        <f aca="false">3*($C$6+$C$7)+$B$7*S20+$B$9*N20+$B$6*T25+$B$8*O25</f>
        <v>41.3971098151487</v>
      </c>
      <c r="O21" s="38" t="n">
        <f aca="false">3*($C$6+$C$7)+$B$7*T20+$B$9*O20+$B$6*U25+$B$8*P25</f>
        <v>41.1453751373501</v>
      </c>
      <c r="P21" s="38" t="n">
        <f aca="false">3*($C$6+$C$7)+$B$7*U20+$B$9*P20+$B$6*U20+$B$8*P20</f>
        <v>38.2236651730114</v>
      </c>
      <c r="Q21" s="38" t="n">
        <f aca="false">4*($C$6+$C$7)+$B$7*V20+$B$9*Q20+$B$6*W25+$B$8*R25</f>
        <v>48.736782383354</v>
      </c>
      <c r="R21" s="38" t="n">
        <f aca="false">4*($C$6+$C$7)+$B$7*W20+$B$9*R20+$B$6*X25+$B$8*S25</f>
        <v>48.7341882326359</v>
      </c>
      <c r="S21" s="38" t="n">
        <f aca="false">4*($C$6+$C$7)+$B$7*X20+$B$9*S20+$B$6*Y25+$B$8*T25</f>
        <v>48.7096549339933</v>
      </c>
      <c r="T21" s="38" t="n">
        <f aca="false">4*($C$6+$C$7)+$B$7*Y20+$B$9*T20+$B$6*Z25+$B$8*U25</f>
        <v>48.4574687758612</v>
      </c>
      <c r="U21" s="38" t="n">
        <f aca="false">4*($C$6+$C$7)+$B$7*Z20+$B$9*U20+$B$6*Z20+$B$8*U20</f>
        <v>45.4675222907065</v>
      </c>
      <c r="V21" s="38" t="n">
        <f aca="false">5*($C$6+$C$7)+$B$7*V20+$B$9*V20+$B$6*W25+$B$8*W25</f>
        <v>52.744640543124</v>
      </c>
      <c r="W21" s="38" t="n">
        <f aca="false">5*($C$6+$C$7)+$B$7*W20+$B$9*W20+$B$6*X25+$B$8*X25</f>
        <v>52.7420463914471</v>
      </c>
      <c r="X21" s="38" t="n">
        <f aca="false">5*($C$6+$C$7)+$B$7*X20+$B$9*X20+$B$6*Y25+$B$8*Y25</f>
        <v>52.7175128964915</v>
      </c>
      <c r="Y21" s="38" t="n">
        <f aca="false">5*($C$6+$C$7)+$B$7*Y20+$B$9*Y20+$B$6*Z25+$B$8*Z25</f>
        <v>52.4652830625764</v>
      </c>
      <c r="Z21" s="38" t="n">
        <f aca="false">5*($C$6+$C$7)+$B$7*Z20+$B$9*Z20+$B$6*Z20+$B$8*Z20</f>
        <v>49.4641006514213</v>
      </c>
    </row>
    <row r="22" customFormat="false" ht="15" hidden="false" customHeight="false" outlineLevel="0" collapsed="false">
      <c r="A22" s="7" t="n">
        <v>6</v>
      </c>
      <c r="B22" s="38" t="n">
        <f aca="false">1*($C$6+$C$7)+$B$7*G21+$B$9*B21+$B$6*H26+$B$8*C26</f>
        <v>29.3146231862479</v>
      </c>
      <c r="C22" s="38" t="n">
        <f aca="false">1*($C$6+$C$7)+$B$7*H21+$B$9*C21+$B$6*I26+$B$8*D26</f>
        <v>29.3111240759687</v>
      </c>
      <c r="D22" s="38" t="n">
        <f aca="false">1*($C$6+$C$7)+$B$7*I21+$B$9*D21+$B$6*J26+$B$8*E26</f>
        <v>29.2788271067442</v>
      </c>
      <c r="E22" s="38" t="n">
        <f aca="false">1*($C$6+$C$7)+$B$7*J21+$B$9*E21+$B$6*K26+$B$8*F26</f>
        <v>28.9652832111432</v>
      </c>
      <c r="F22" s="38" t="n">
        <f aca="false">1*($C$6+$C$7)+$B$7*K21+$B$9*F21+$B$6*K21+$B$8*F21</f>
        <v>25.9322834935788</v>
      </c>
      <c r="G22" s="38" t="n">
        <f aca="false">2*($C$6+$C$7)+$B$7*L21+$B$9*G21+$B$6*M26+$B$8*H26</f>
        <v>41.108148437067</v>
      </c>
      <c r="H22" s="38" t="n">
        <f aca="false">2*($C$6+$C$7)+$B$7*M21+$B$9*H21+$B$6*N26+$B$8*I26</f>
        <v>41.1046485459786</v>
      </c>
      <c r="I22" s="38" t="n">
        <f aca="false">2*($C$6+$C$7)+$B$7*N21+$B$9*I21+$B$6*O26+$B$8*J26</f>
        <v>41.0722778202256</v>
      </c>
      <c r="J22" s="38" t="n">
        <f aca="false">2*($C$6+$C$7)+$B$7*O21+$B$9*J21+$B$6*P26+$B$8*K26</f>
        <v>40.7528789302353</v>
      </c>
      <c r="K22" s="38" t="n">
        <f aca="false">2*($C$6+$C$7)+$B$7*P21+$B$9*K21+$B$6*P21+$B$8*K21</f>
        <v>37.3894968652125</v>
      </c>
      <c r="L22" s="38" t="n">
        <f aca="false">3*($C$6+$C$7)+$B$7*Q21+$B$9*L21+$B$6*R26+$B$8*M26</f>
        <v>51.4832237780429</v>
      </c>
      <c r="M22" s="38" t="n">
        <f aca="false">3*($C$6+$C$7)+$B$7*R21+$B$9*M21+$B$6*S26+$B$8*N26</f>
        <v>51.4797237593109</v>
      </c>
      <c r="N22" s="38" t="n">
        <f aca="false">3*($C$6+$C$7)+$B$7*S21+$B$9*N21+$B$6*T26+$B$8*O26</f>
        <v>51.4473374250801</v>
      </c>
      <c r="O22" s="38" t="n">
        <f aca="false">3*($C$6+$C$7)+$B$7*T21+$B$9*O21+$B$6*U26+$B$8*P26</f>
        <v>51.1261955190178</v>
      </c>
      <c r="P22" s="38" t="n">
        <f aca="false">3*($C$6+$C$7)+$B$7*U21+$B$9*P21+$B$6*U21+$B$8*P21</f>
        <v>47.6030382629689</v>
      </c>
      <c r="Q22" s="38" t="n">
        <f aca="false">4*($C$6+$C$7)+$B$7*V21+$B$9*Q21+$B$6*W26+$B$8*R26</f>
        <v>59.2112650484567</v>
      </c>
      <c r="R22" s="38" t="n">
        <f aca="false">4*($C$6+$C$7)+$B$7*W21+$B$9*R21+$B$6*X26+$B$8*S26</f>
        <v>59.2077650163266</v>
      </c>
      <c r="S22" s="38" t="n">
        <f aca="false">4*($C$6+$C$7)+$B$7*X21+$B$9*S21+$B$6*Y26+$B$8*T26</f>
        <v>59.1753765766042</v>
      </c>
      <c r="T22" s="38" t="n">
        <f aca="false">4*($C$6+$C$7)+$B$7*Y21+$B$9*T21+$B$6*Z26+$B$8*U26</f>
        <v>58.85390671257</v>
      </c>
      <c r="U22" s="38" t="n">
        <f aca="false">4*($C$6+$C$7)+$B$7*Z21+$B$9*U21+$B$6*Z21+$B$8*U21</f>
        <v>55.2817248998549</v>
      </c>
      <c r="V22" s="38" t="n">
        <f aca="false">5*($C$6+$C$7)+$B$7*V21+$B$9*V21+$B$6*W26+$B$8*W26</f>
        <v>63.2935125371283</v>
      </c>
      <c r="W22" s="38" t="n">
        <f aca="false">5*($C$6+$C$7)+$B$7*W21+$B$9*W21+$B$6*X26+$B$8*X26</f>
        <v>63.2900125043208</v>
      </c>
      <c r="X22" s="38" t="n">
        <f aca="false">5*($C$6+$C$7)+$B$7*X21+$B$9*X21+$B$6*Y26+$B$8*Y26</f>
        <v>63.2576239288671</v>
      </c>
      <c r="Y22" s="38" t="n">
        <f aca="false">5*($C$6+$C$7)+$B$7*Y21+$B$9*Y21+$B$6*Z26+$B$8*Z26</f>
        <v>62.9361249028724</v>
      </c>
      <c r="Z22" s="38" t="n">
        <f aca="false">5*($C$6+$C$7)+$B$7*Z21+$B$9*Z21+$B$6*Z21+$B$8*Z21</f>
        <v>59.3569207817055</v>
      </c>
    </row>
    <row r="23" customFormat="false" ht="15" hidden="false" customHeight="false" outlineLevel="0" collapsed="false">
      <c r="A23" s="7" t="n">
        <v>7</v>
      </c>
      <c r="B23" s="38" t="n">
        <f aca="false">1*($C$6+$C$7)+$B$7*G22+$B$9*B22+$B$6*H27+$B$8*C27</f>
        <v>37.4927053238472</v>
      </c>
      <c r="C23" s="38" t="n">
        <f aca="false">1*($C$6+$C$7)+$B$7*H22+$B$9*C22+$B$6*I27+$B$8*D27</f>
        <v>37.4881386134461</v>
      </c>
      <c r="D23" s="38" t="n">
        <f aca="false">1*($C$6+$C$7)+$B$7*I22+$B$9*D22+$B$6*J27+$B$8*E27</f>
        <v>37.4468557033221</v>
      </c>
      <c r="E23" s="38" t="n">
        <f aca="false">1*($C$6+$C$7)+$B$7*J22+$B$9*E22+$B$6*K27+$B$8*F27</f>
        <v>37.0565698816075</v>
      </c>
      <c r="F23" s="38" t="n">
        <f aca="false">1*($C$6+$C$7)+$B$7*K22+$B$9*F22+$B$6*K22+$B$8*F22</f>
        <v>33.3575297905361</v>
      </c>
      <c r="G23" s="38" t="n">
        <f aca="false">2*($C$6+$C$7)+$B$7*L22+$B$9*G22+$B$6*M27+$B$8*H27</f>
        <v>50.6310410319706</v>
      </c>
      <c r="H23" s="38" t="n">
        <f aca="false">2*($C$6+$C$7)+$B$7*M22+$B$9*H22+$B$6*N27+$B$8*I27</f>
        <v>50.6264737086528</v>
      </c>
      <c r="I23" s="38" t="n">
        <f aca="false">2*($C$6+$C$7)+$B$7*N22+$B$9*I22+$B$6*O27+$B$8*J27</f>
        <v>50.5851319845938</v>
      </c>
      <c r="J23" s="38" t="n">
        <f aca="false">2*($C$6+$C$7)+$B$7*O22+$B$9*J22+$B$6*P27+$B$8*K27</f>
        <v>50.1900380621142</v>
      </c>
      <c r="K23" s="38" t="n">
        <f aca="false">2*($C$6+$C$7)+$B$7*P22+$B$9*K22+$B$6*P22+$B$8*K22</f>
        <v>46.2020738864445</v>
      </c>
      <c r="L23" s="38" t="n">
        <f aca="false">3*($C$6+$C$7)+$B$7*Q22+$B$9*L22+$B$6*R27+$B$8*M27</f>
        <v>61.7435639192538</v>
      </c>
      <c r="M23" s="38" t="n">
        <f aca="false">3*($C$6+$C$7)+$B$7*R22+$B$9*M22+$B$6*S27+$B$8*N27</f>
        <v>61.7389965003813</v>
      </c>
      <c r="N23" s="38" t="n">
        <f aca="false">3*($C$6+$C$7)+$B$7*S22+$B$9*N22+$B$6*T27+$B$8*O27</f>
        <v>61.6976430583098</v>
      </c>
      <c r="O23" s="38" t="n">
        <f aca="false">3*($C$6+$C$7)+$B$7*T22+$B$9*O22+$B$6*U27+$B$8*P27</f>
        <v>61.3012299465066</v>
      </c>
      <c r="P23" s="38" t="n">
        <f aca="false">3*($C$6+$C$7)+$B$7*U22+$B$9*P22+$B$6*U22+$B$8*P22</f>
        <v>57.1891263853011</v>
      </c>
      <c r="Q23" s="38" t="n">
        <f aca="false">4*($C$6+$C$7)+$B$7*V22+$B$9*Q22+$B$6*W27+$B$8*R27</f>
        <v>69.7216342552675</v>
      </c>
      <c r="R23" s="38" t="n">
        <f aca="false">4*($C$6+$C$7)+$B$7*W22+$B$9*R22+$B$6*X27+$B$8*S27</f>
        <v>69.7170668268182</v>
      </c>
      <c r="S23" s="38" t="n">
        <f aca="false">4*($C$6+$C$7)+$B$7*X22+$B$9*S22+$B$6*Y27+$B$8*T27</f>
        <v>69.6757118942328</v>
      </c>
      <c r="T23" s="38" t="n">
        <f aca="false">4*($C$6+$C$7)+$B$7*Y22+$B$9*T22+$B$6*Z27+$B$8*U27</f>
        <v>69.2790696893309</v>
      </c>
      <c r="U23" s="38" t="n">
        <f aca="false">4*($C$6+$C$7)+$B$7*Z22+$B$9*U22+$B$6*Z22+$B$8*U22</f>
        <v>65.1333017504234</v>
      </c>
      <c r="V23" s="38" t="n">
        <f aca="false">5*($C$6+$C$7)+$B$7*V22+$B$9*V22+$B$6*W27+$B$8*W27</f>
        <v>73.8423593715816</v>
      </c>
      <c r="W23" s="38" t="n">
        <f aca="false">5*($C$6+$C$7)+$B$7*W22+$B$9*W22+$B$6*X27+$B$8*X27</f>
        <v>73.8377919426694</v>
      </c>
      <c r="X23" s="38" t="n">
        <f aca="false">5*($C$6+$C$7)+$B$7*X22+$B$9*X22+$B$6*Y27+$B$8*Y27</f>
        <v>73.7964369193185</v>
      </c>
      <c r="Y23" s="38" t="n">
        <f aca="false">5*($C$6+$C$7)+$B$7*Y22+$B$9*Y22+$B$6*Z27+$B$8*Z27</f>
        <v>73.3997758668761</v>
      </c>
      <c r="Z23" s="38" t="n">
        <f aca="false">5*($C$6+$C$7)+$B$7*Z22+$B$9*Z22+$B$6*Z22+$B$8*Z22</f>
        <v>69.2497409119898</v>
      </c>
    </row>
    <row r="24" customFormat="false" ht="15" hidden="false" customHeight="false" outlineLevel="0" collapsed="false">
      <c r="A24" s="7" t="n">
        <v>8</v>
      </c>
      <c r="B24" s="38" t="n">
        <f aca="false">1*($C$6+$C$7)+$B$7*G23+$B$9*B23+$B$6*H28+$B$8*C28</f>
        <v>46.3298790514978</v>
      </c>
      <c r="C24" s="38" t="n">
        <f aca="false">1*($C$6+$C$7)+$B$7*H23+$B$9*C23+$B$6*I28+$B$8*D28</f>
        <v>46.3240686140723</v>
      </c>
      <c r="D24" s="38" t="n">
        <f aca="false">1*($C$6+$C$7)+$B$7*I23+$B$9*D23+$B$6*J28+$B$8*E28</f>
        <v>46.2726406138591</v>
      </c>
      <c r="E24" s="38" t="n">
        <f aca="false">1*($C$6+$C$7)+$B$7*J23+$B$9*E23+$B$6*K28+$B$8*F28</f>
        <v>45.8000011552088</v>
      </c>
      <c r="F24" s="38" t="n">
        <f aca="false">1*($C$6+$C$7)+$B$7*K23+$B$9*F23+$B$6*K23+$B$8*F23</f>
        <v>41.44230379416</v>
      </c>
      <c r="G24" s="38" t="n">
        <f aca="false">2*($C$6+$C$7)+$B$7*L23+$B$9*G23+$B$6*M28+$B$8*H28</f>
        <v>60.5128721103463</v>
      </c>
      <c r="H24" s="38" t="n">
        <f aca="false">2*($C$6+$C$7)+$B$7*M23+$B$9*H23+$B$6*N28+$B$8*I28</f>
        <v>60.5070612066625</v>
      </c>
      <c r="I24" s="38" t="n">
        <f aca="false">2*($C$6+$C$7)+$B$7*N23+$B$9*I23+$B$6*O28+$B$8*J28</f>
        <v>60.4555879124131</v>
      </c>
      <c r="J24" s="38" t="n">
        <f aca="false">2*($C$6+$C$7)+$B$7*O23+$B$9*J23+$B$6*P28+$B$8*K28</f>
        <v>59.9791598334096</v>
      </c>
      <c r="K24" s="38" t="n">
        <f aca="false">2*($C$6+$C$7)+$B$7*P23+$B$9*K23+$B$6*P23+$B$8*K23</f>
        <v>55.3823728889341</v>
      </c>
      <c r="L24" s="38" t="n">
        <f aca="false">3*($C$6+$C$7)+$B$7*Q23+$B$9*L23+$B$6*R28+$B$8*M28</f>
        <v>72.1249893753251</v>
      </c>
      <c r="M24" s="38" t="n">
        <f aca="false">3*($C$6+$C$7)+$B$7*R23+$B$9*M23+$B$6*S28+$B$8*N28</f>
        <v>72.1191784021751</v>
      </c>
      <c r="N24" s="38" t="n">
        <f aca="false">3*($C$6+$C$7)+$B$7*S23+$B$9*N23+$B$6*T28+$B$8*O28</f>
        <v>72.0676965841111</v>
      </c>
      <c r="O24" s="38" t="n">
        <f aca="false">3*($C$6+$C$7)+$B$7*T23+$B$9*O23+$B$6*U28+$B$8*P28</f>
        <v>71.5903051869507</v>
      </c>
      <c r="P24" s="38" t="n">
        <f aca="false">3*($C$6+$C$7)+$B$7*U23+$B$9*P23+$B$6*U23+$B$8*P23</f>
        <v>66.9014260655666</v>
      </c>
      <c r="Q24" s="38" t="n">
        <f aca="false">4*($C$6+$C$7)+$B$7*V23+$B$9*Q23+$B$6*W28+$B$8*R28</f>
        <v>80.2505503303393</v>
      </c>
      <c r="R24" s="38" t="n">
        <f aca="false">4*($C$6+$C$7)+$B$7*W23+$B$9*R23+$B$6*X28+$B$8*S28</f>
        <v>80.2447393505283</v>
      </c>
      <c r="S24" s="38" t="n">
        <f aca="false">4*($C$6+$C$7)+$B$7*X23+$B$9*S23+$B$6*Y28+$B$8*T28</f>
        <v>80.1932565068418</v>
      </c>
      <c r="T24" s="38" t="n">
        <f aca="false">4*($C$6+$C$7)+$B$7*Y23+$B$9*T23+$B$6*Z28+$B$8*U28</f>
        <v>79.7157098204346</v>
      </c>
      <c r="U24" s="38" t="n">
        <f aca="false">4*($C$6+$C$7)+$B$7*Z23+$B$9*U23+$B$6*Z23+$B$8*U23</f>
        <v>75.0044853791093</v>
      </c>
      <c r="V24" s="38" t="n">
        <f aca="false">5*($C$6+$C$7)+$B$7*V23+$B$9*V23+$B$6*W28+$B$8*W28</f>
        <v>84.3911778688268</v>
      </c>
      <c r="W24" s="38" t="n">
        <f aca="false">5*($C$6+$C$7)+$B$7*W23+$B$9*W23+$B$6*X28+$B$8*X28</f>
        <v>84.3853668887073</v>
      </c>
      <c r="X24" s="38" t="n">
        <f aca="false">5*($C$6+$C$7)+$B$7*X23+$B$9*X23+$B$6*Y28+$B$8*Y28</f>
        <v>84.3338839858422</v>
      </c>
      <c r="Y24" s="38" t="n">
        <f aca="false">5*($C$6+$C$7)+$B$7*Y23+$B$9*Y23+$B$6*Z28+$B$8*Z28</f>
        <v>83.8563254126493</v>
      </c>
      <c r="Z24" s="38" t="n">
        <f aca="false">5*($C$6+$C$7)+$B$7*Z23+$B$9*Z23+$B$6*Z23+$B$8*Z23</f>
        <v>79.1425610422741</v>
      </c>
    </row>
    <row r="25" customFormat="false" ht="15" hidden="false" customHeight="false" outlineLevel="0" collapsed="false">
      <c r="A25" s="7" t="n">
        <v>9</v>
      </c>
      <c r="B25" s="38" t="n">
        <f aca="false">1*($C$6+$C$7)+$B$7*G24+$B$9*B24+$B$6*H29+$B$8*C29</f>
        <v>55.6778572072713</v>
      </c>
      <c r="C25" s="38" t="n">
        <f aca="false">1*($C$6+$C$7)+$B$7*H24+$B$9*C24+$B$6*I29+$B$8*D29</f>
        <v>55.6706119812206</v>
      </c>
      <c r="D25" s="38" t="n">
        <f aca="false">1*($C$6+$C$7)+$B$7*I24+$B$9*D24+$B$6*J29+$B$8*E29</f>
        <v>55.6078327731311</v>
      </c>
      <c r="E25" s="38" t="n">
        <f aca="false">1*($C$6+$C$7)+$B$7*J24+$B$9*E24+$B$6*K29+$B$8*F29</f>
        <v>55.0474747904259</v>
      </c>
      <c r="F25" s="38" t="n">
        <f aca="false">1*($C$6+$C$7)+$B$7*K24+$B$9*F24+$B$6*K24+$B$8*F24</f>
        <v>50.0478830228504</v>
      </c>
      <c r="G25" s="38" t="n">
        <f aca="false">2*($C$6+$C$7)+$B$7*L24+$B$9*G24+$B$6*M29+$B$8*H29</f>
        <v>70.6375783253506</v>
      </c>
      <c r="H25" s="38" t="n">
        <f aca="false">2*($C$6+$C$7)+$B$7*M24+$B$9*H24+$B$6*N29+$B$8*I29</f>
        <v>70.6303327535954</v>
      </c>
      <c r="I25" s="38" t="n">
        <f aca="false">2*($C$6+$C$7)+$B$7*N24+$B$9*I24+$B$6*O29+$B$8*J29</f>
        <v>70.5675196459711</v>
      </c>
      <c r="J25" s="38" t="n">
        <f aca="false">2*($C$6+$C$7)+$B$7*O24+$B$9*J24+$B$6*P29+$B$8*K29</f>
        <v>70.0042758592421</v>
      </c>
      <c r="K25" s="38" t="n">
        <f aca="false">2*($C$6+$C$7)+$B$7*P24+$B$9*K24+$B$6*P24+$B$8*K24</f>
        <v>64.8155814398242</v>
      </c>
      <c r="L25" s="38" t="n">
        <f aca="false">3*($C$6+$C$7)+$B$7*Q24+$B$9*L24+$B$6*R29+$B$8*M29</f>
        <v>82.5777974320796</v>
      </c>
      <c r="M25" s="38" t="n">
        <f aca="false">3*($C$6+$C$7)+$B$7*R24+$B$9*M24+$B$6*S29+$B$8*N29</f>
        <v>82.5705518110098</v>
      </c>
      <c r="N25" s="38" t="n">
        <f aca="false">3*($C$6+$C$7)+$B$7*S24+$B$9*N24+$B$6*T29+$B$8*O29</f>
        <v>82.5077326600497</v>
      </c>
      <c r="O25" s="38" t="n">
        <f aca="false">3*($C$6+$C$7)+$B$7*T24+$B$9*O24+$B$6*U29+$B$8*P29</f>
        <v>81.9438055275416</v>
      </c>
      <c r="P25" s="38" t="n">
        <f aca="false">3*($C$6+$C$7)+$B$7*U24+$B$9*P24+$B$6*U24+$B$8*P24</f>
        <v>76.6892581075785</v>
      </c>
      <c r="Q25" s="38" t="n">
        <f aca="false">4*($C$6+$C$7)+$B$7*V24+$B$9*Q24+$B$6*W29+$B$8*R29</f>
        <v>90.7890426419769</v>
      </c>
      <c r="R25" s="38" t="n">
        <f aca="false">4*($C$6+$C$7)+$B$7*W24+$B$9*R24+$B$6*X29+$B$8*S29</f>
        <v>90.7817970163746</v>
      </c>
      <c r="S25" s="38" t="n">
        <f aca="false">4*($C$6+$C$7)+$B$7*X24+$B$9*S24+$B$6*Y29+$B$8*T29</f>
        <v>90.7189771755797</v>
      </c>
      <c r="T25" s="38" t="n">
        <f aca="false">4*($C$6+$C$7)+$B$7*Y24+$B$9*T24+$B$6*Z29+$B$8*U29</f>
        <v>90.1549472791179</v>
      </c>
      <c r="U25" s="38" t="n">
        <f aca="false">4*($C$6+$C$7)+$B$7*Z24+$B$9*U24+$B$6*Z24+$B$8*U24</f>
        <v>84.8859548553078</v>
      </c>
      <c r="V25" s="38" t="n">
        <f aca="false">5*($C$6+$C$7)+$B$7*V24+$B$9*V24+$B$6*W29+$B$8*W29</f>
        <v>94.9399646407167</v>
      </c>
      <c r="W25" s="38" t="n">
        <f aca="false">5*($C$6+$C$7)+$B$7*W24+$B$9*W24+$B$6*X29+$B$8*X29</f>
        <v>94.932719014913</v>
      </c>
      <c r="X25" s="38" t="n">
        <f aca="false">5*($C$6+$C$7)+$B$7*X24+$B$9*X24+$B$6*Y29+$B$8*Y29</f>
        <v>94.8698991362989</v>
      </c>
      <c r="Y25" s="38" t="n">
        <f aca="false">5*($C$6+$C$7)+$B$7*Y24+$B$9*Y24+$B$6*Z29+$B$8*Z29</f>
        <v>94.3058618853512</v>
      </c>
      <c r="Z25" s="38" t="n">
        <f aca="false">5*($C$6+$C$7)+$B$7*Z24+$B$9*Z24+$B$6*Z24+$B$8*Z24</f>
        <v>89.0353811725583</v>
      </c>
    </row>
    <row r="26" customFormat="false" ht="15" hidden="false" customHeight="false" outlineLevel="0" collapsed="false">
      <c r="A26" s="7" t="n">
        <v>10</v>
      </c>
      <c r="B26" s="38" t="n">
        <f aca="false">1*($C$6+$C$7)+$B$7*G25+$B$9*B25+$B$6*H30+$B$8*C30</f>
        <v>65.4049582515306</v>
      </c>
      <c r="C26" s="38" t="n">
        <f aca="false">1*($C$6+$C$7)+$B$7*H25+$B$9*C25+$B$6*I30+$B$8*D30</f>
        <v>65.3960719650229</v>
      </c>
      <c r="D26" s="38" t="n">
        <f aca="false">1*($C$6+$C$7)+$B$7*I25+$B$9*D25+$B$6*J30+$B$8*E30</f>
        <v>65.3206901266767</v>
      </c>
      <c r="E26" s="38" t="n">
        <f aca="false">1*($C$6+$C$7)+$B$7*J25+$B$9*E25+$B$6*K30+$B$8*F30</f>
        <v>64.667425255726</v>
      </c>
      <c r="F26" s="38" t="n">
        <f aca="false">1*($C$6+$C$7)+$B$7*K25+$B$9*F25+$B$6*K25+$B$8*F25</f>
        <v>59.0469116715598</v>
      </c>
      <c r="G26" s="38" t="n">
        <f aca="false">2*($C$6+$C$7)+$B$7*L25+$B$9*G25+$B$6*M30+$B$8*H30</f>
        <v>80.9216346714474</v>
      </c>
      <c r="H26" s="38" t="n">
        <f aca="false">2*($C$6+$C$7)+$B$7*M25+$B$9*H25+$B$6*N30+$B$8*I30</f>
        <v>80.9127481340931</v>
      </c>
      <c r="I26" s="38" t="n">
        <f aca="false">2*($C$6+$C$7)+$B$7*N25+$B$9*I25+$B$6*O30+$B$8*J30</f>
        <v>80.8373415273722</v>
      </c>
      <c r="J26" s="38" t="n">
        <f aca="false">2*($C$6+$C$7)+$B$7*O25+$B$9*J25+$B$6*P30+$B$8*K30</f>
        <v>80.1819401926023</v>
      </c>
      <c r="K26" s="38" t="n">
        <f aca="false">2*($C$6+$C$7)+$B$7*P25+$B$9*K25+$B$6*P25+$B$8*K25</f>
        <v>74.4173756161441</v>
      </c>
      <c r="L26" s="38" t="n">
        <f aca="false">3*($C$6+$C$7)+$B$7*Q25+$B$9*L25+$B$6*R30+$B$8*M30</f>
        <v>93.0720445610561</v>
      </c>
      <c r="M26" s="38" t="n">
        <f aca="false">3*($C$6+$C$7)+$B$7*R25+$B$9*M25+$B$6*S30+$B$8*N30</f>
        <v>93.0631579893804</v>
      </c>
      <c r="N26" s="38" t="n">
        <f aca="false">3*($C$6+$C$7)+$B$7*S25+$B$9*N25+$B$6*T30+$B$8*O30</f>
        <v>92.9877471887055</v>
      </c>
      <c r="O26" s="38" t="n">
        <f aca="false">3*($C$6+$C$7)+$B$7*T25+$B$9*O25+$B$6*U30+$B$8*P30</f>
        <v>92.3318726460775</v>
      </c>
      <c r="P26" s="38" t="n">
        <f aca="false">3*($C$6+$C$7)+$B$7*U25+$B$9*P25+$B$6*U25+$B$8*P25</f>
        <v>86.5216047567758</v>
      </c>
      <c r="Q26" s="38" t="n">
        <f aca="false">4*($C$6+$C$7)+$B$7*V25+$B$9*Q25+$B$6*W30+$B$8*R30</f>
        <v>101.332469313188</v>
      </c>
      <c r="R26" s="38" t="n">
        <f aca="false">4*($C$6+$C$7)+$B$7*W25+$B$9*R25+$B$6*X30+$B$8*S30</f>
        <v>101.323582738483</v>
      </c>
      <c r="S26" s="38" t="n">
        <f aca="false">4*($C$6+$C$7)+$B$7*X25+$B$9*S25+$B$6*Y30+$B$8*T30</f>
        <v>101.248171482474</v>
      </c>
      <c r="T26" s="38" t="n">
        <f aca="false">4*($C$6+$C$7)+$B$7*Y25+$B$9*T25+$B$6*Z30+$B$8*U30</f>
        <v>100.592230262122</v>
      </c>
      <c r="U26" s="38" t="n">
        <f aca="false">4*($C$6+$C$7)+$B$7*Z25+$B$9*U25+$B$6*Z25+$B$8*U25</f>
        <v>94.7728203562086</v>
      </c>
      <c r="V26" s="38" t="n">
        <f aca="false">5*($C$6+$C$7)+$B$7*V25+$B$9*V25+$B$6*W30+$B$8*W30</f>
        <v>105.488716086519</v>
      </c>
      <c r="W26" s="38" t="n">
        <f aca="false">5*($C$6+$C$7)+$B$7*W25+$B$9*W25+$B$6*X30+$B$8*X30</f>
        <v>105.479829511685</v>
      </c>
      <c r="X26" s="38" t="n">
        <f aca="false">5*($C$6+$C$7)+$B$7*X25+$B$9*X25+$B$6*Y30+$B$8*Y30</f>
        <v>105.404418231897</v>
      </c>
      <c r="Y26" s="38" t="n">
        <f aca="false">5*($C$6+$C$7)+$B$7*Y25+$B$9*Y25+$B$6*Z30+$B$8*Z30</f>
        <v>104.748472531083</v>
      </c>
      <c r="Z26" s="38" t="n">
        <f aca="false">5*($C$6+$C$7)+$B$7*Z25+$B$9*Z25+$B$6*Z25+$B$8*Z25</f>
        <v>98.9282013028425</v>
      </c>
    </row>
    <row r="27" customFormat="false" ht="15" hidden="false" customHeight="false" outlineLevel="0" collapsed="false">
      <c r="A27" s="7" t="n">
        <v>11</v>
      </c>
      <c r="B27" s="38" t="n">
        <f aca="false">1*($C$6+$C$7)+$B$7*G26+$B$9*B26+$B$6*H31+$B$8*C31</f>
        <v>75.403528730449</v>
      </c>
      <c r="C27" s="38" t="n">
        <f aca="false">1*($C$6+$C$7)+$B$7*H26+$B$9*C26+$B$6*I31+$B$8*D31</f>
        <v>75.3927796577753</v>
      </c>
      <c r="D27" s="38" t="n">
        <f aca="false">1*($C$6+$C$7)+$B$7*I26+$B$9*D26+$B$6*J31+$B$8*E31</f>
        <v>75.3035003901055</v>
      </c>
      <c r="E27" s="38" t="n">
        <f aca="false">1*($C$6+$C$7)+$B$7*J26+$B$9*E26+$B$6*K31+$B$8*F31</f>
        <v>74.5522750047085</v>
      </c>
      <c r="F27" s="38" t="n">
        <f aca="false">1*($C$6+$C$7)+$B$7*K26+$B$9*F26+$B$6*K26+$B$8*F26</f>
        <v>68.3324910029051</v>
      </c>
      <c r="G27" s="38" t="n">
        <f aca="false">2*($C$6+$C$7)+$B$7*L26+$B$9*G26+$B$6*M31+$B$8*H31</f>
        <v>91.3076878518295</v>
      </c>
      <c r="H27" s="38" t="n">
        <f aca="false">2*($C$6+$C$7)+$B$7*M26+$B$9*H26+$B$6*N31+$B$8*I31</f>
        <v>91.2969386004831</v>
      </c>
      <c r="I27" s="38" t="n">
        <f aca="false">2*($C$6+$C$7)+$B$7*N26+$B$9*I26+$B$6*O31+$B$8*J31</f>
        <v>91.2076416060193</v>
      </c>
      <c r="J27" s="38" t="n">
        <f aca="false">2*($C$6+$C$7)+$B$7*O26+$B$9*J26+$B$6*P31+$B$8*K31</f>
        <v>90.4548724901456</v>
      </c>
      <c r="K27" s="38" t="n">
        <f aca="false">2*($C$6+$C$7)+$B$7*P26+$B$9*K26+$B$6*P26+$B$8*K26</f>
        <v>84.1287728892904</v>
      </c>
      <c r="L27" s="38" t="n">
        <f aca="false">3*($C$6+$C$7)+$B$7*Q26+$B$9*L26+$B$6*R31+$B$8*M31</f>
        <v>103.590051054231</v>
      </c>
      <c r="M27" s="38" t="n">
        <f aca="false">3*($C$6+$C$7)+$B$7*R26+$B$9*M26+$B$6*S31+$B$8*N31</f>
        <v>103.579301779399</v>
      </c>
      <c r="N27" s="38" t="n">
        <f aca="false">3*($C$6+$C$7)+$B$7*S26+$B$9*N26+$B$6*T31+$B$8*O31</f>
        <v>103.490001927017</v>
      </c>
      <c r="O27" s="38" t="n">
        <f aca="false">3*($C$6+$C$7)+$B$7*T26+$B$9*O26+$B$6*U31+$B$8*P31</f>
        <v>102.736911735698</v>
      </c>
      <c r="P27" s="38" t="n">
        <f aca="false">3*($C$6+$C$7)+$B$7*U26+$B$9*P26+$B$6*U26+$B$8*P26</f>
        <v>96.3798693018323</v>
      </c>
      <c r="Q27" s="38" t="n">
        <f aca="false">4*($C$6+$C$7)+$B$7*V26+$B$9*Q26+$B$6*W31+$B$8*R31</f>
        <v>111.878427396246</v>
      </c>
      <c r="R27" s="38" t="n">
        <f aca="false">4*($C$6+$C$7)+$B$7*W26+$B$9*R26+$B$6*X31+$B$8*S31</f>
        <v>111.867678119421</v>
      </c>
      <c r="S27" s="38" t="n">
        <f aca="false">4*($C$6+$C$7)+$B$7*X26+$B$9*S26+$B$6*Y31+$B$8*T31</f>
        <v>111.778377971227</v>
      </c>
      <c r="T27" s="38" t="n">
        <f aca="false">4*($C$6+$C$7)+$B$7*Y26+$B$9*T26+$B$6*Z31+$B$8*U31</f>
        <v>111.025245225389</v>
      </c>
      <c r="U27" s="38" t="n">
        <f aca="false">4*($C$6+$C$7)+$B$7*Z26+$B$9*U26+$B$6*Z26+$B$8*U26</f>
        <v>104.662516647917</v>
      </c>
      <c r="V27" s="38" t="n">
        <f aca="false">5*($C$6+$C$7)+$B$7*V26+$B$9*V26+$B$6*W31+$B$8*W31</f>
        <v>116.037428391144</v>
      </c>
      <c r="W27" s="38" t="n">
        <f aca="false">5*($C$6+$C$7)+$B$7*W26+$B$9*W26+$B$6*X31+$B$8*X31</f>
        <v>116.026679114236</v>
      </c>
      <c r="X27" s="38" t="n">
        <f aca="false">5*($C$6+$C$7)+$B$7*X26+$B$9*X26+$B$6*Y31+$B$8*Y31</f>
        <v>115.937378951295</v>
      </c>
      <c r="Y27" s="38" t="n">
        <f aca="false">5*($C$6+$C$7)+$B$7*Y26+$B$9*Y26+$B$6*Z31+$B$8*Z31</f>
        <v>115.184243510563</v>
      </c>
      <c r="Z27" s="38" t="n">
        <f aca="false">5*($C$6+$C$7)+$B$7*Z26+$B$9*Z26+$B$6*Z26+$B$8*Z26</f>
        <v>108.821021433127</v>
      </c>
    </row>
    <row r="28" customFormat="false" ht="15" hidden="false" customHeight="false" outlineLevel="0" collapsed="false">
      <c r="A28" s="7" t="n">
        <v>12</v>
      </c>
      <c r="B28" s="38" t="n">
        <f aca="false">1*($C$6+$C$7)+$B$7*G27+$B$9*B27+$B$6*H32+$B$8*C32</f>
        <v>85.5907455639346</v>
      </c>
      <c r="C28" s="38" t="n">
        <f aca="false">1*($C$6+$C$7)+$B$7*H27+$B$9*C27+$B$6*I32+$B$8*D32</f>
        <v>85.5778963113957</v>
      </c>
      <c r="D28" s="38" t="n">
        <f aca="false">1*($C$6+$C$7)+$B$7*I27+$B$9*D27+$B$6*J32+$B$8*E32</f>
        <v>85.4733835142871</v>
      </c>
      <c r="E28" s="38" t="n">
        <f aca="false">1*($C$6+$C$7)+$B$7*J27+$B$9*E27+$B$6*K32+$B$8*F32</f>
        <v>84.6192573429038</v>
      </c>
      <c r="F28" s="38" t="n">
        <f aca="false">1*($C$6+$C$7)+$B$7*K27+$B$9*F27+$B$6*K27+$B$8*F27</f>
        <v>77.8205013232708</v>
      </c>
      <c r="G28" s="38" t="n">
        <f aca="false">2*($C$6+$C$7)+$B$7*L27+$B$9*G27+$B$6*M32+$B$8*H32</f>
        <v>101.757718223599</v>
      </c>
      <c r="H28" s="38" t="n">
        <f aca="false">2*($C$6+$C$7)+$B$7*M27+$B$9*H27+$B$6*N32+$B$8*I32</f>
        <v>101.744868845839</v>
      </c>
      <c r="I28" s="38" t="n">
        <f aca="false">2*($C$6+$C$7)+$B$7*N27+$B$9*I27+$B$6*O32+$B$8*J32</f>
        <v>101.640343587986</v>
      </c>
      <c r="J28" s="38" t="n">
        <f aca="false">2*($C$6+$C$7)+$B$7*O27+$B$9*J27+$B$6*P32+$B$8*K32</f>
        <v>100.785125194138</v>
      </c>
      <c r="K28" s="38" t="n">
        <f aca="false">2*($C$6+$C$7)+$B$7*P27+$B$9*K27+$B$6*P27+$B$8*K27</f>
        <v>93.9099898768945</v>
      </c>
      <c r="L28" s="38" t="n">
        <f aca="false">3*($C$6+$C$7)+$B$7*Q27+$B$9*L27+$B$6*R32+$B$8*M32</f>
        <v>114.121537539022</v>
      </c>
      <c r="M28" s="38" t="n">
        <f aca="false">3*($C$6+$C$7)+$B$7*R27+$B$9*M27+$B$6*S32+$B$8*N32</f>
        <v>114.108688145426</v>
      </c>
      <c r="N28" s="38" t="n">
        <f aca="false">3*($C$6+$C$7)+$B$7*S27+$B$9*N27+$B$6*T32+$B$8*O32</f>
        <v>114.004160970596</v>
      </c>
      <c r="O28" s="38" t="n">
        <f aca="false">3*($C$6+$C$7)+$B$7*T27+$B$9*O27+$B$6*U32+$B$8*P32</f>
        <v>113.148728510452</v>
      </c>
      <c r="P28" s="38" t="n">
        <f aca="false">3*($C$6+$C$7)+$B$7*U27+$B$9*P27+$B$6*U27+$B$8*P27</f>
        <v>106.253076288098</v>
      </c>
      <c r="Q28" s="38" t="n">
        <f aca="false">4*($C$6+$C$7)+$B$7*V27+$B$9*Q27+$B$6*W32+$B$8*R32</f>
        <v>122.425671917044</v>
      </c>
      <c r="R28" s="38" t="n">
        <f aca="false">4*($C$6+$C$7)+$B$7*W27+$B$9*R27+$B$6*X32+$B$8*S32</f>
        <v>122.412822522153</v>
      </c>
      <c r="S28" s="38" t="n">
        <f aca="false">4*($C$6+$C$7)+$B$7*X27+$B$9*S27+$B$6*Y32+$B$8*T32</f>
        <v>122.308295157751</v>
      </c>
      <c r="T28" s="38" t="n">
        <f aca="false">4*($C$6+$C$7)+$B$7*Y27+$B$9*T27+$B$6*Z32+$B$8*U32</f>
        <v>121.452835918633</v>
      </c>
      <c r="U28" s="38" t="n">
        <f aca="false">4*($C$6+$C$7)+$B$7*Z27+$B$9*U27+$B$6*Z27+$B$8*U27</f>
        <v>114.553697991499</v>
      </c>
      <c r="V28" s="38" t="n">
        <f aca="false">5*($C$6+$C$7)+$B$7*V27+$B$9*V27+$B$6*W32+$B$8*W32</f>
        <v>126.586097523689</v>
      </c>
      <c r="W28" s="38" t="n">
        <f aca="false">5*($C$6+$C$7)+$B$7*W27+$B$9*W27+$B$6*X32+$B$8*X32</f>
        <v>126.573248128747</v>
      </c>
      <c r="X28" s="38" t="n">
        <f aca="false">5*($C$6+$C$7)+$B$7*X27+$B$9*X27+$B$6*Y32+$B$8*Y32</f>
        <v>126.468720755305</v>
      </c>
      <c r="Y28" s="38" t="n">
        <f aca="false">5*($C$6+$C$7)+$B$7*Y27+$B$9*Y27+$B$6*Z32+$B$8*Z32</f>
        <v>125.613259912625</v>
      </c>
      <c r="Z28" s="38" t="n">
        <f aca="false">5*($C$6+$C$7)+$B$7*Z27+$B$9*Z27+$B$6*Z27+$B$8*Z27</f>
        <v>118.713841563411</v>
      </c>
    </row>
    <row r="29" customFormat="false" ht="15" hidden="false" customHeight="false" outlineLevel="0" collapsed="false">
      <c r="A29" s="7" t="n">
        <v>13</v>
      </c>
      <c r="B29" s="38" t="n">
        <f aca="false">1*($C$6+$C$7)+$B$7*G28+$B$9*B28+$B$6*H33+$B$8*C33</f>
        <v>95.905783598314</v>
      </c>
      <c r="C29" s="38" t="n">
        <f aca="false">1*($C$6+$C$7)+$B$7*H28+$B$9*C28+$B$6*I33+$B$8*D33</f>
        <v>95.8905809177333</v>
      </c>
      <c r="D29" s="38" t="n">
        <f aca="false">1*($C$6+$C$7)+$B$7*I28+$B$9*D28+$B$6*J33+$B$8*E33</f>
        <v>95.7694593268873</v>
      </c>
      <c r="E29" s="38" t="n">
        <f aca="false">1*($C$6+$C$7)+$B$7*J28+$B$9*E28+$B$6*K33+$B$8*F33</f>
        <v>94.8075970633022</v>
      </c>
      <c r="F29" s="38" t="n">
        <f aca="false">1*($C$6+$C$7)+$B$7*K28+$B$9*F28+$B$6*K28+$B$8*F28</f>
        <v>87.4479001235711</v>
      </c>
      <c r="G29" s="38" t="n">
        <f aca="false">2*($C$6+$C$7)+$B$7*L28+$B$9*G28+$B$6*M33+$B$8*H33</f>
        <v>112.247203523891</v>
      </c>
      <c r="H29" s="38" t="n">
        <f aca="false">2*($C$6+$C$7)+$B$7*M28+$B$9*H28+$B$6*N33+$B$8*I33</f>
        <v>112.232000756799</v>
      </c>
      <c r="I29" s="38" t="n">
        <f aca="false">2*($C$6+$C$7)+$B$7*N28+$B$9*I28+$B$6*O33+$B$8*J33</f>
        <v>112.110870544889</v>
      </c>
      <c r="J29" s="38" t="n">
        <f aca="false">2*($C$6+$C$7)+$B$7*O28+$B$9*J28+$B$6*P33+$B$8*K33</f>
        <v>111.148249613502</v>
      </c>
      <c r="K29" s="38" t="n">
        <f aca="false">2*($C$6+$C$7)+$B$7*P28+$B$9*K28+$B$6*P28+$B$8*K28</f>
        <v>103.734938291903</v>
      </c>
      <c r="L29" s="38" t="n">
        <f aca="false">3*($C$6+$C$7)+$B$7*Q28+$B$9*L28+$B$6*R33+$B$8*M33</f>
        <v>124.660599076355</v>
      </c>
      <c r="M29" s="38" t="n">
        <f aca="false">3*($C$6+$C$7)+$B$7*R28+$B$9*M28+$B$6*S33+$B$8*N33</f>
        <v>124.64539629872</v>
      </c>
      <c r="N29" s="38" t="n">
        <f aca="false">3*($C$6+$C$7)+$B$7*S28+$B$9*N28+$B$6*T33+$B$8*O33</f>
        <v>124.524264818671</v>
      </c>
      <c r="O29" s="38" t="n">
        <f aca="false">3*($C$6+$C$7)+$B$7*T28+$B$9*O28+$B$6*U33+$B$8*P33</f>
        <v>123.561503327228</v>
      </c>
      <c r="P29" s="38" t="n">
        <f aca="false">3*($C$6+$C$7)+$B$7*U28+$B$9*P28+$B$6*U28+$B$8*P28</f>
        <v>116.134828163087</v>
      </c>
      <c r="Q29" s="38" t="n">
        <f aca="false">4*($C$6+$C$7)+$B$7*V28+$B$9*Q28+$B$6*W33+$B$8*R33</f>
        <v>132.973556754049</v>
      </c>
      <c r="R29" s="38" t="n">
        <f aca="false">4*($C$6+$C$7)+$B$7*W28+$B$9*R28+$B$6*X33+$B$8*S33</f>
        <v>132.958353975583</v>
      </c>
      <c r="S29" s="38" t="n">
        <f aca="false">4*($C$6+$C$7)+$B$7*X28+$B$9*S28+$B$6*Y33+$B$8*T33</f>
        <v>132.837222375484</v>
      </c>
      <c r="T29" s="38" t="n">
        <f aca="false">4*($C$6+$C$7)+$B$7*Y28+$B$9*T28+$B$6*Z33+$B$8*U33</f>
        <v>131.874444236279</v>
      </c>
      <c r="U29" s="38" t="n">
        <f aca="false">4*($C$6+$C$7)+$B$7*Z28+$B$9*U28+$B$6*Z28+$B$8*U28</f>
        <v>124.445658403271</v>
      </c>
      <c r="V29" s="38" t="n">
        <f aca="false">5*($C$6+$C$7)+$B$7*V28+$B$9*V28+$B$6*W33+$B$8*W33</f>
        <v>137.134719236281</v>
      </c>
      <c r="W29" s="38" t="n">
        <f aca="false">5*($C$6+$C$7)+$B$7*W28+$B$9*W28+$B$6*X33+$B$8*X33</f>
        <v>137.119516457784</v>
      </c>
      <c r="X29" s="38" t="n">
        <f aca="false">5*($C$6+$C$7)+$B$7*X28+$B$9*X28+$B$6*Y33+$B$8*Y33</f>
        <v>136.998384852197</v>
      </c>
      <c r="Y29" s="38" t="n">
        <f aca="false">5*($C$6+$C$7)+$B$7*Y28+$B$9*Y28+$B$6*Z33+$B$8*Z33</f>
        <v>136.035605767557</v>
      </c>
      <c r="Z29" s="38" t="n">
        <f aca="false">5*($C$6+$C$7)+$B$7*Z28+$B$9*Z28+$B$6*Z28+$B$8*Z28</f>
        <v>128.606661693695</v>
      </c>
    </row>
    <row r="30" customFormat="false" ht="15" hidden="false" customHeight="false" outlineLevel="0" collapsed="false">
      <c r="A30" s="7" t="n">
        <v>14</v>
      </c>
      <c r="B30" s="38" t="n">
        <f aca="false">1*($C$6+$C$7)+$B$7*G29+$B$9*B29+$B$6*H34+$B$8*C34</f>
        <v>106.305583765931</v>
      </c>
      <c r="C30" s="38" t="n">
        <f aca="false">1*($C$6+$C$7)+$B$7*H29+$B$9*C29+$B$6*I34+$B$8*D34</f>
        <v>106.287758394232</v>
      </c>
      <c r="D30" s="38" t="n">
        <f aca="false">1*($C$6+$C$7)+$B$7*I29+$B$9*D29+$B$6*J34+$B$8*E34</f>
        <v>106.148615720786</v>
      </c>
      <c r="E30" s="38" t="n">
        <f aca="false">1*($C$6+$C$7)+$B$7*J29+$B$9*E29+$B$6*K34+$B$8*F34</f>
        <v>105.074285943449</v>
      </c>
      <c r="F30" s="38" t="n">
        <f aca="false">1*($C$6+$C$7)+$B$7*K29+$B$9*F29+$B$6*K29+$B$8*F29</f>
        <v>97.1692126836269</v>
      </c>
      <c r="G30" s="38" t="n">
        <f aca="false">2*($C$6+$C$7)+$B$7*L29+$B$9*G29+$B$6*M34+$B$8*H34</f>
        <v>122.760669879568</v>
      </c>
      <c r="H30" s="38" t="n">
        <f aca="false">2*($C$6+$C$7)+$B$7*M29+$B$9*H29+$B$6*N34+$B$8*I34</f>
        <v>122.742844448861</v>
      </c>
      <c r="I30" s="38" t="n">
        <f aca="false">2*($C$6+$C$7)+$B$7*N29+$B$9*I29+$B$6*O34+$B$8*J34</f>
        <v>122.603695894649</v>
      </c>
      <c r="J30" s="38" t="n">
        <f aca="false">2*($C$6+$C$7)+$B$7*O29+$B$9*J29+$B$6*P34+$B$8*K34</f>
        <v>121.528847648225</v>
      </c>
      <c r="K30" s="38" t="n">
        <f aca="false">2*($C$6+$C$7)+$B$7*P29+$B$9*K29+$B$6*P29+$B$8*K29</f>
        <v>113.586890690197</v>
      </c>
      <c r="L30" s="38" t="n">
        <f aca="false">3*($C$6+$C$7)+$B$7*Q29+$B$9*L29+$B$6*R34+$B$8*M34</f>
        <v>135.203876082064</v>
      </c>
      <c r="M30" s="38" t="n">
        <f aca="false">3*($C$6+$C$7)+$B$7*R29+$B$9*M29+$B$6*S34+$B$8*N34</f>
        <v>135.18605064442</v>
      </c>
      <c r="N30" s="38" t="n">
        <f aca="false">3*($C$6+$C$7)+$B$7*S29+$B$9*N29+$B$6*T34+$B$8*O34</f>
        <v>135.046901261534</v>
      </c>
      <c r="O30" s="38" t="n">
        <f aca="false">3*($C$6+$C$7)+$B$7*T29+$B$9*O29+$B$6*U34+$B$8*P34</f>
        <v>133.971961951123</v>
      </c>
      <c r="P30" s="38" t="n">
        <f aca="false">3*($C$6+$C$7)+$B$7*U29+$B$9*P29+$B$6*U29+$B$8*P29</f>
        <v>126.021433107884</v>
      </c>
      <c r="Q30" s="38" t="n">
        <f aca="false">4*($C$6+$C$7)+$B$7*V29+$B$9*Q29+$B$6*W34+$B$8*R34</f>
        <v>143.521745434577</v>
      </c>
      <c r="R30" s="38" t="n">
        <f aca="false">4*($C$6+$C$7)+$B$7*W29+$B$9*R29+$B$6*X34+$B$8*S34</f>
        <v>143.503919996405</v>
      </c>
      <c r="S30" s="38" t="n">
        <f aca="false">4*($C$6+$C$7)+$B$7*X29+$B$9*S29+$B$6*Y34+$B$8*T34</f>
        <v>143.364770538287</v>
      </c>
      <c r="T30" s="38" t="n">
        <f aca="false">4*($C$6+$C$7)+$B$7*Y29+$B$9*T29+$B$6*Z34+$B$8*U34</f>
        <v>142.289820987952</v>
      </c>
      <c r="U30" s="38" t="n">
        <f aca="false">4*($C$6+$C$7)+$B$7*Z29+$B$9*U29+$B$6*Z29+$B$8*U29</f>
        <v>134.338027519448</v>
      </c>
      <c r="V30" s="38" t="n">
        <f aca="false">5*($C$6+$C$7)+$B$7*V29+$B$9*V29+$B$6*W34+$B$8*W34</f>
        <v>147.683289063203</v>
      </c>
      <c r="W30" s="38" t="n">
        <f aca="false">5*($C$6+$C$7)+$B$7*W29+$B$9*W29+$B$6*X34+$B$8*X34</f>
        <v>147.665463625011</v>
      </c>
      <c r="X30" s="38" t="n">
        <f aca="false">5*($C$6+$C$7)+$B$7*X29+$B$9*X29+$B$6*Y34+$B$8*Y34</f>
        <v>147.526314163592</v>
      </c>
      <c r="Y30" s="38" t="n">
        <f aca="false">5*($C$6+$C$7)+$B$7*Y29+$B$9*Y29+$B$6*Z34+$B$8*Z34</f>
        <v>146.451364060269</v>
      </c>
      <c r="Z30" s="38" t="n">
        <f aca="false">5*($C$6+$C$7)+$B$7*Z29+$B$9*Z29+$B$6*Z29+$B$8*Z29</f>
        <v>138.49948182398</v>
      </c>
    </row>
    <row r="31" customFormat="false" ht="15" hidden="false" customHeight="false" outlineLevel="0" collapsed="false">
      <c r="A31" s="7" t="n">
        <v>15</v>
      </c>
      <c r="B31" s="38" t="n">
        <f aca="false">1*($C$6+$C$7)+$B$7*G30+$B$9*B30+$B$6*H35+$B$8*C35</f>
        <v>116.760557095298</v>
      </c>
      <c r="C31" s="38" t="n">
        <f aca="false">1*($C$6+$C$7)+$B$7*H30+$B$9*C30+$B$6*I35+$B$8*D35</f>
        <v>116.739823618847</v>
      </c>
      <c r="D31" s="38" t="n">
        <f aca="false">1*($C$6+$C$7)+$B$7*I30+$B$9*D30+$B$6*J35+$B$8*E35</f>
        <v>116.581212655696</v>
      </c>
      <c r="E31" s="38" t="n">
        <f aca="false">1*($C$6+$C$7)+$B$7*J30+$B$9*E30+$B$6*K35+$B$8*F35</f>
        <v>115.389790185502</v>
      </c>
      <c r="F31" s="38" t="n">
        <f aca="false">1*($C$6+$C$7)+$B$7*K30+$B$9*F30+$B$6*K30+$B$8*F30</f>
        <v>106.952630545184</v>
      </c>
      <c r="G31" s="38" t="n">
        <f aca="false">2*($C$6+$C$7)+$B$7*L30+$B$9*G30+$B$6*M35+$B$8*H35</f>
        <v>133.28852622013</v>
      </c>
      <c r="H31" s="38" t="n">
        <f aca="false">2*($C$6+$C$7)+$B$7*M30+$B$9*H30+$B$6*N35+$B$8*I35</f>
        <v>133.267792703892</v>
      </c>
      <c r="I31" s="38" t="n">
        <f aca="false">2*($C$6+$C$7)+$B$7*N30+$B$9*I30+$B$6*O35+$B$8*J35</f>
        <v>133.109177779881</v>
      </c>
      <c r="J31" s="38" t="n">
        <f aca="false">2*($C$6+$C$7)+$B$7*O30+$B$9*J30+$B$6*P35+$B$8*K35</f>
        <v>131.917406091915</v>
      </c>
      <c r="K31" s="38" t="n">
        <f aca="false">2*($C$6+$C$7)+$B$7*P30+$B$9*K30+$B$6*P30+$B$8*K30</f>
        <v>123.455316676314</v>
      </c>
      <c r="L31" s="38" t="n">
        <f aca="false">3*($C$6+$C$7)+$B$7*Q30+$B$9*L30+$B$6*R35+$B$8*M35</f>
        <v>145.749471719571</v>
      </c>
      <c r="M31" s="38" t="n">
        <f aca="false">3*($C$6+$C$7)+$B$7*R30+$B$9*M30+$B$6*S35+$B$8*N35</f>
        <v>145.728738198815</v>
      </c>
      <c r="N31" s="38" t="n">
        <f aca="false">3*($C$6+$C$7)+$B$7*S30+$B$9*N30+$B$6*T35+$B$8*O35</f>
        <v>145.57012273922</v>
      </c>
      <c r="O31" s="38" t="n">
        <f aca="false">3*($C$6+$C$7)+$B$7*T30+$B$9*O30+$B$6*U35+$B$8*P35</f>
        <v>144.378292752416</v>
      </c>
      <c r="P31" s="38" t="n">
        <f aca="false">3*($C$6+$C$7)+$B$7*U30+$B$9*P30+$B$6*U30+$B$8*P30</f>
        <v>135.910778301033</v>
      </c>
      <c r="Q31" s="38" t="n">
        <f aca="false">4*($C$6+$C$7)+$B$7*V30+$B$9*Q30+$B$6*W35+$B$8*R35</f>
        <v>154.070061545</v>
      </c>
      <c r="R31" s="38" t="n">
        <f aca="false">4*($C$6+$C$7)+$B$7*W30+$B$9*R30+$B$6*X35+$B$8*S35</f>
        <v>154.049328023911</v>
      </c>
      <c r="S31" s="38" t="n">
        <f aca="false">4*($C$6+$C$7)+$B$7*X30+$B$9*S30+$B$6*Y35+$B$8*T35</f>
        <v>153.890712517608</v>
      </c>
      <c r="T31" s="38" t="n">
        <f aca="false">4*($C$6+$C$7)+$B$7*Y30+$B$9*T30+$B$6*Z35+$B$8*U35</f>
        <v>152.698876291171</v>
      </c>
      <c r="U31" s="38" t="n">
        <f aca="false">4*($C$6+$C$7)+$B$7*Z30+$B$9*U30+$B$6*Z30+$B$8*U30</f>
        <v>144.230611044702</v>
      </c>
      <c r="V31" s="38" t="n">
        <f aca="false">5*($C$6+$C$7)+$B$7*V30+$B$9*V30+$B$6*W35+$B$8*W35</f>
        <v>158.231802320304</v>
      </c>
      <c r="W31" s="38" t="n">
        <f aca="false">5*($C$6+$C$7)+$B$7*W30+$B$9*W30+$B$6*X35+$B$8*X35</f>
        <v>158.211068799203</v>
      </c>
      <c r="X31" s="38" t="n">
        <f aca="false">5*($C$6+$C$7)+$B$7*X30+$B$9*X30+$B$6*Y35+$B$8*Y35</f>
        <v>158.052453290928</v>
      </c>
      <c r="Y31" s="38" t="n">
        <f aca="false">5*($C$6+$C$7)+$B$7*Y30+$B$9*Y30+$B$6*Z35+$B$8*Z35</f>
        <v>156.860616743295</v>
      </c>
      <c r="Z31" s="38" t="n">
        <f aca="false">5*($C$6+$C$7)+$B$7*Z30+$B$9*Z30+$B$6*Z30+$B$8*Z30</f>
        <v>148.392301954264</v>
      </c>
    </row>
    <row r="32" customFormat="false" ht="15" hidden="false" customHeight="false" outlineLevel="0" collapsed="false">
      <c r="A32" s="7" t="n">
        <v>16</v>
      </c>
      <c r="B32" s="38" t="n">
        <f aca="false">1*($C$6+$C$7)+$B$7*G31+$B$9*B31+$B$6*H36+$B$8*C36</f>
        <v>127.250864274123</v>
      </c>
      <c r="C32" s="38" t="n">
        <f aca="false">1*($C$6+$C$7)+$B$7*H31+$B$9*C31+$B$6*I36+$B$8*D36</f>
        <v>127.226921016703</v>
      </c>
      <c r="D32" s="38" t="n">
        <f aca="false">1*($C$6+$C$7)+$B$7*I31+$B$9*D31+$B$6*J36+$B$8*E36</f>
        <v>127.047361691576</v>
      </c>
      <c r="E32" s="38" t="n">
        <f aca="false">1*($C$6+$C$7)+$B$7*J31+$B$9*E31+$B$6*K36+$B$8*F36</f>
        <v>125.734331019823</v>
      </c>
      <c r="F32" s="38" t="n">
        <f aca="false">1*($C$6+$C$7)+$B$7*K31+$B$9*F31+$B$6*K31+$B$8*F31</f>
        <v>116.776460698099</v>
      </c>
      <c r="G32" s="38" t="n">
        <f aca="false">2*($C$6+$C$7)+$B$7*L31+$B$9*G31+$B$6*M36+$B$8*H36</f>
        <v>143.824915352848</v>
      </c>
      <c r="H32" s="38" t="n">
        <f aca="false">2*($C$6+$C$7)+$B$7*M31+$B$9*H31+$B$6*N36+$B$8*I36</f>
        <v>143.800972068881</v>
      </c>
      <c r="I32" s="38" t="n">
        <f aca="false">2*($C$6+$C$7)+$B$7*N31+$B$9*I31+$B$6*O36+$B$8*J36</f>
        <v>143.621410106483</v>
      </c>
      <c r="J32" s="38" t="n">
        <f aca="false">2*($C$6+$C$7)+$B$7*O31+$B$9*J31+$B$6*P36+$B$8*K36</f>
        <v>142.308147257002</v>
      </c>
      <c r="K32" s="38" t="n">
        <f aca="false">2*($C$6+$C$7)+$B$7*P31+$B$9*K31+$B$6*P31+$B$8*K31</f>
        <v>133.333687512926</v>
      </c>
      <c r="L32" s="38" t="n">
        <f aca="false">3*($C$6+$C$7)+$B$7*Q31+$B$9*L31+$B$6*R36+$B$8*M36</f>
        <v>156.296321309106</v>
      </c>
      <c r="M32" s="38" t="n">
        <f aca="false">3*($C$6+$C$7)+$B$7*R31+$B$9*M31+$B$6*S36+$B$8*N36</f>
        <v>156.272378022224</v>
      </c>
      <c r="N32" s="38" t="n">
        <f aca="false">3*($C$6+$C$7)+$B$7*S31+$B$9*N31+$B$6*T36+$B$8*O36</f>
        <v>156.092815717078</v>
      </c>
      <c r="O32" s="38" t="n">
        <f aca="false">3*($C$6+$C$7)+$B$7*T31+$B$9*O31+$B$6*U36+$B$8*P36</f>
        <v>154.779515940076</v>
      </c>
      <c r="P32" s="38" t="n">
        <f aca="false">3*($C$6+$C$7)+$B$7*U31+$B$9*P31+$B$6*U31+$B$8*P31</f>
        <v>145.801662975511</v>
      </c>
      <c r="Q32" s="38" t="n">
        <f aca="false">4*($C$6+$C$7)+$B$7*V31+$B$9*Q31+$B$6*W36+$B$8*R36</f>
        <v>164.618411355919</v>
      </c>
      <c r="R32" s="38" t="n">
        <f aca="false">4*($C$6+$C$7)+$B$7*W31+$B$9*R31+$B$6*X36+$B$8*S36</f>
        <v>164.594468068829</v>
      </c>
      <c r="S32" s="38" t="n">
        <f aca="false">4*($C$6+$C$7)+$B$7*X31+$B$9*S31+$B$6*Y36+$B$8*T36</f>
        <v>164.414905734925</v>
      </c>
      <c r="T32" s="38" t="n">
        <f aca="false">4*($C$6+$C$7)+$B$7*Y31+$B$9*T31+$B$6*Z36+$B$8*U36</f>
        <v>163.101602187482</v>
      </c>
      <c r="U32" s="38" t="n">
        <f aca="false">4*($C$6+$C$7)+$B$7*Z31+$B$9*U31+$B$6*Z31+$B$8*U31</f>
        <v>154.123307050398</v>
      </c>
      <c r="V32" s="38" t="n">
        <f aca="false">5*($C$6+$C$7)+$B$7*V31+$B$9*V31+$B$6*W36+$B$8*W36</f>
        <v>168.780254104671</v>
      </c>
      <c r="W32" s="38" t="n">
        <f aca="false">5*($C$6+$C$7)+$B$7*W31+$B$9*W31+$B$6*X36+$B$8*X36</f>
        <v>168.756310817574</v>
      </c>
      <c r="X32" s="38" t="n">
        <f aca="false">5*($C$6+$C$7)+$B$7*X31+$B$9*X31+$B$6*Y36+$B$8*Y36</f>
        <v>168.576748482502</v>
      </c>
      <c r="Y32" s="38" t="n">
        <f aca="false">5*($C$6+$C$7)+$B$7*Y31+$B$9*Y31+$B$6*Z36+$B$8*Z36</f>
        <v>167.263444749644</v>
      </c>
      <c r="Z32" s="38" t="n">
        <f aca="false">5*($C$6+$C$7)+$B$7*Z31+$B$9*Z31+$B$6*Z31+$B$8*Z31</f>
        <v>158.285122084548</v>
      </c>
    </row>
    <row r="33" customFormat="false" ht="15" hidden="false" customHeight="false" outlineLevel="0" collapsed="false">
      <c r="A33" s="7" t="n">
        <v>17</v>
      </c>
      <c r="B33" s="38" t="n">
        <f aca="false">1*($C$6+$C$7)+$B$7*G32+$B$9*B32+$B$6*H37+$B$8*C37</f>
        <v>137.76347454686</v>
      </c>
      <c r="C33" s="38" t="n">
        <f aca="false">1*($C$6+$C$7)+$B$7*H32+$B$9*C32+$B$6*I37+$B$8*D37</f>
        <v>137.736003480289</v>
      </c>
      <c r="D33" s="38" t="n">
        <f aca="false">1*($C$6+$C$7)+$B$7*I32+$B$9*D32+$B$6*J37+$B$8*E37</f>
        <v>137.533984846272</v>
      </c>
      <c r="E33" s="38" t="n">
        <f aca="false">1*($C$6+$C$7)+$B$7*J32+$B$9*E32+$B$6*K37+$B$8*F37</f>
        <v>136.09494334812</v>
      </c>
      <c r="F33" s="38" t="n">
        <f aca="false">1*($C$6+$C$7)+$B$7*K32+$B$9*F32+$B$6*K32+$B$8*F32</f>
        <v>126.626219125656</v>
      </c>
      <c r="G33" s="38" t="n">
        <f aca="false">2*($C$6+$C$7)+$B$7*L32+$B$9*G32+$B$6*M37+$B$8*H37</f>
        <v>154.366304513445</v>
      </c>
      <c r="H33" s="38" t="n">
        <f aca="false">2*($C$6+$C$7)+$B$7*M32+$B$9*H32+$B$6*N37+$B$8*I37</f>
        <v>154.33883342933</v>
      </c>
      <c r="I33" s="38" t="n">
        <f aca="false">2*($C$6+$C$7)+$B$7*N32+$B$9*I32+$B$6*O37+$B$8*J37</f>
        <v>154.136813057591</v>
      </c>
      <c r="J33" s="38" t="n">
        <f aca="false">2*($C$6+$C$7)+$B$7*O32+$B$9*J32+$B$6*P37+$B$8*K37</f>
        <v>152.697618997398</v>
      </c>
      <c r="K33" s="38" t="n">
        <f aca="false">2*($C$6+$C$7)+$B$7*P32+$B$9*K32+$B$6*P32+$B$8*K32</f>
        <v>143.218007343995</v>
      </c>
      <c r="L33" s="38" t="n">
        <f aca="false">3*($C$6+$C$7)+$B$7*Q32+$B$9*L32+$B$6*R37+$B$8*M37</f>
        <v>166.843829631081</v>
      </c>
      <c r="M33" s="38" t="n">
        <f aca="false">3*($C$6+$C$7)+$B$7*R32+$B$9*M32+$B$6*S37+$B$8*N37</f>
        <v>166.816358545101</v>
      </c>
      <c r="N33" s="38" t="n">
        <f aca="false">3*($C$6+$C$7)+$B$7*S32+$B$9*N32+$B$6*T37+$B$8*O37</f>
        <v>166.61433795598</v>
      </c>
      <c r="O33" s="38" t="n">
        <f aca="false">3*($C$6+$C$7)+$B$7*T32+$B$9*O32+$B$6*U37+$B$8*P37</f>
        <v>165.175120728211</v>
      </c>
      <c r="P33" s="38" t="n">
        <f aca="false">3*($C$6+$C$7)+$B$7*U32+$B$9*P32+$B$6*U32+$B$8*P32</f>
        <v>155.693408744682</v>
      </c>
      <c r="Q33" s="38" t="n">
        <f aca="false">4*($C$6+$C$7)+$B$7*V32+$B$9*Q32+$B$6*W37+$B$8*R37</f>
        <v>175.166743800385</v>
      </c>
      <c r="R33" s="38" t="n">
        <f aca="false">4*($C$6+$C$7)+$B$7*W32+$B$9*R32+$B$6*X37+$B$8*S37</f>
        <v>175.139272714277</v>
      </c>
      <c r="S33" s="38" t="n">
        <f aca="false">4*($C$6+$C$7)+$B$7*X32+$B$9*S32+$B$6*Y37+$B$8*T37</f>
        <v>174.937252107583</v>
      </c>
      <c r="T33" s="38" t="n">
        <f aca="false">4*($C$6+$C$7)+$B$7*Y32+$B$9*T32+$B$6*Z37+$B$8*U37</f>
        <v>173.498032618441</v>
      </c>
      <c r="U33" s="38" t="n">
        <f aca="false">4*($C$6+$C$7)+$B$7*Z32+$B$9*U32+$B$6*Z32+$B$8*U32</f>
        <v>164.016062064089</v>
      </c>
      <c r="V33" s="38" t="n">
        <f aca="false">5*($C$6+$C$7)+$B$7*V32+$B$9*V32+$B$6*W37+$B$8*W37</f>
        <v>179.328639294558</v>
      </c>
      <c r="W33" s="38" t="n">
        <f aca="false">5*($C$6+$C$7)+$B$7*W32+$B$9*W32+$B$6*X37+$B$8*X37</f>
        <v>179.301168208445</v>
      </c>
      <c r="X33" s="38" t="n">
        <f aca="false">5*($C$6+$C$7)+$B$7*X32+$B$9*X32+$B$6*Y37+$B$8*Y37</f>
        <v>179.099147601063</v>
      </c>
      <c r="Y33" s="38" t="n">
        <f aca="false">5*($C$6+$C$7)+$B$7*Y32+$B$9*Y32+$B$6*Z37+$B$8*Z37</f>
        <v>177.659928005473</v>
      </c>
      <c r="Z33" s="38" t="n">
        <f aca="false">5*($C$6+$C$7)+$B$7*Z32+$B$9*Z32+$B$6*Z32+$B$8*Z32</f>
        <v>168.177942214832</v>
      </c>
    </row>
    <row r="34" customFormat="false" ht="15" hidden="false" customHeight="false" outlineLevel="0" collapsed="false">
      <c r="A34" s="7" t="n">
        <v>18</v>
      </c>
      <c r="B34" s="38" t="n">
        <f aca="false">1*($C$6+$C$7)+$B$7*G33+$B$9*B33+$B$6*H38+$B$8*C38</f>
        <v>148.289977789062</v>
      </c>
      <c r="C34" s="38" t="n">
        <f aca="false">1*($C$6+$C$7)+$B$7*H33+$B$9*C33+$B$6*I38+$B$8*D38</f>
        <v>148.258644465523</v>
      </c>
      <c r="D34" s="38" t="n">
        <f aca="false">1*($C$6+$C$7)+$B$7*I33+$B$9*D33+$B$6*J38+$B$8*E38</f>
        <v>148.032626626158</v>
      </c>
      <c r="E34" s="38" t="n">
        <f aca="false">1*($C$6+$C$7)+$B$7*J33+$B$9*E33+$B$6*K38+$B$8*F38</f>
        <v>146.463286979348</v>
      </c>
      <c r="F34" s="38" t="n">
        <f aca="false">1*($C$6+$C$7)+$B$7*K33+$B$9*F33+$B$6*K33+$B$8*F33</f>
        <v>136.49240781227</v>
      </c>
      <c r="G34" s="38" t="n">
        <f aca="false">2*($C$6+$C$7)+$B$7*L33+$B$9*G33+$B$6*M38+$B$8*H38</f>
        <v>164.910584990034</v>
      </c>
      <c r="H34" s="38" t="n">
        <f aca="false">2*($C$6+$C$7)+$B$7*M33+$B$9*H33+$B$6*N38+$B$8*I38</f>
        <v>164.879251655002</v>
      </c>
      <c r="I34" s="38" t="n">
        <f aca="false">2*($C$6+$C$7)+$B$7*N33+$B$9*I33+$B$6*O38+$B$8*J38</f>
        <v>164.653232681528</v>
      </c>
      <c r="J34" s="38" t="n">
        <f aca="false">2*($C$6+$C$7)+$B$7*O33+$B$9*J33+$B$6*P38+$B$8*K38</f>
        <v>163.083793849567</v>
      </c>
      <c r="K34" s="38" t="n">
        <f aca="false">2*($C$6+$C$7)+$B$7*P33+$B$9*K33+$B$6*P33+$B$8*K33</f>
        <v>153.105857416152</v>
      </c>
      <c r="L34" s="38" t="n">
        <f aca="false">3*($C$6+$C$7)+$B$7*Q33+$B$9*L33+$B$6*R38+$B$8*M38</f>
        <v>177.39166442987</v>
      </c>
      <c r="M34" s="38" t="n">
        <f aca="false">3*($C$6+$C$7)+$B$7*R33+$B$9*M33+$B$6*S38+$B$8*N38</f>
        <v>177.360331093654</v>
      </c>
      <c r="N34" s="38" t="n">
        <f aca="false">3*($C$6+$C$7)+$B$7*S33+$B$9*N33+$B$6*T38+$B$8*O38</f>
        <v>177.134311983435</v>
      </c>
      <c r="O34" s="38" t="n">
        <f aca="false">3*($C$6+$C$7)+$B$7*T33+$B$9*O33+$B$6*U38+$B$8*P38</f>
        <v>175.564858742058</v>
      </c>
      <c r="P34" s="38" t="n">
        <f aca="false">3*($C$6+$C$7)+$B$7*U33+$B$9*P33+$B$6*U33+$B$8*P33</f>
        <v>165.585634301918</v>
      </c>
      <c r="Q34" s="38" t="n">
        <f aca="false">4*($C$6+$C$7)+$B$7*V33+$B$9*Q33+$B$6*W38+$B$8*R38</f>
        <v>185.71502977299</v>
      </c>
      <c r="R34" s="38" t="n">
        <f aca="false">4*($C$6+$C$7)+$B$7*W33+$B$9*R33+$B$6*X38+$B$8*S38</f>
        <v>185.683696436695</v>
      </c>
      <c r="S34" s="38" t="n">
        <f aca="false">4*($C$6+$C$7)+$B$7*X33+$B$9*S33+$B$6*Y38+$B$8*T38</f>
        <v>185.457677315811</v>
      </c>
      <c r="T34" s="38" t="n">
        <f aca="false">4*($C$6+$C$7)+$B$7*Y33+$B$9*T33+$B$6*Z38+$B$8*U38</f>
        <v>183.888222727276</v>
      </c>
      <c r="U34" s="38" t="n">
        <f aca="false">4*($C$6+$C$7)+$B$7*Z33+$B$9*U33+$B$6*Z33+$B$8*U33</f>
        <v>173.908848033771</v>
      </c>
      <c r="V34" s="38" t="n">
        <f aca="false">5*($C$6+$C$7)+$B$7*V33+$B$9*V33+$B$6*W38+$B$8*W38</f>
        <v>189.876952549552</v>
      </c>
      <c r="W34" s="38" t="n">
        <f aca="false">5*($C$6+$C$7)+$B$7*W33+$B$9*W33+$B$6*X38+$B$8*X38</f>
        <v>189.845619213254</v>
      </c>
      <c r="X34" s="38" t="n">
        <f aca="false">5*($C$6+$C$7)+$B$7*X33+$B$9*X33+$B$6*Y38+$B$8*Y38</f>
        <v>189.619600091967</v>
      </c>
      <c r="Y34" s="38" t="n">
        <f aca="false">5*($C$6+$C$7)+$B$7*Y33+$B$9*Y33+$B$6*Z38+$B$8*Z38</f>
        <v>188.05014544262</v>
      </c>
      <c r="Z34" s="38" t="n">
        <f aca="false">5*($C$6+$C$7)+$B$7*Z33+$B$9*Z33+$B$6*Z33+$B$8*Z33</f>
        <v>178.070762345117</v>
      </c>
    </row>
    <row r="35" customFormat="false" ht="15" hidden="false" customHeight="false" outlineLevel="0" collapsed="false">
      <c r="A35" s="7" t="n">
        <v>19</v>
      </c>
      <c r="B35" s="38" t="n">
        <f aca="false">1*($C$6+$C$7)+$B$7*G34+$B$9*B34+$B$6*H39+$B$8*C39</f>
        <v>158.825027042632</v>
      </c>
      <c r="C35" s="38" t="n">
        <f aca="false">1*($C$6+$C$7)+$B$7*H34+$B$9*C34+$B$6*I39+$B$8*D39</f>
        <v>158.789480547845</v>
      </c>
      <c r="D35" s="38" t="n">
        <f aca="false">1*($C$6+$C$7)+$B$7*I34+$B$9*D34+$B$6*J39+$B$8*E39</f>
        <v>158.537896517516</v>
      </c>
      <c r="E35" s="38" t="n">
        <f aca="false">1*($C$6+$C$7)+$B$7*J34+$B$9*E34+$B$6*K39+$B$8*F39</f>
        <v>156.834088160715</v>
      </c>
      <c r="F35" s="38" t="n">
        <f aca="false">1*($C$6+$C$7)+$B$7*K34+$B$9*F34+$B$6*K34+$B$8*F34</f>
        <v>146.368894176057</v>
      </c>
      <c r="G35" s="38" t="n">
        <f aca="false">2*($C$6+$C$7)+$B$7*L34+$B$9*G34+$B$6*M39+$B$8*H39</f>
        <v>175.45650886154</v>
      </c>
      <c r="H35" s="38" t="n">
        <f aca="false">2*($C$6+$C$7)+$B$7*M34+$B$9*H34+$B$6*N39+$B$8*I39</f>
        <v>175.420962359285</v>
      </c>
      <c r="I35" s="38" t="n">
        <f aca="false">2*($C$6+$C$7)+$B$7*N34+$B$9*I34+$B$6*O39+$B$8*J39</f>
        <v>175.169377595263</v>
      </c>
      <c r="J35" s="38" t="n">
        <f aca="false">2*($C$6+$C$7)+$B$7*O34+$B$9*J34+$B$6*P39+$B$8*K39</f>
        <v>173.465505378347</v>
      </c>
      <c r="K35" s="38" t="n">
        <f aca="false">2*($C$6+$C$7)+$B$7*P34+$B$9*K34+$B$6*P34+$B$8*K34</f>
        <v>162.995787564523</v>
      </c>
      <c r="L35" s="38" t="n">
        <f aca="false">3*($C$6+$C$7)+$B$7*Q34+$B$9*L34+$B$6*R39+$B$8*M39</f>
        <v>187.9396398324</v>
      </c>
      <c r="M35" s="38" t="n">
        <f aca="false">3*($C$6+$C$7)+$B$7*R34+$B$9*M34+$B$6*S39+$B$8*N39</f>
        <v>187.904093329399</v>
      </c>
      <c r="N35" s="38" t="n">
        <f aca="false">3*($C$6+$C$7)+$B$7*S34+$B$9*N34+$B$6*T39+$B$8*O39</f>
        <v>187.652508479999</v>
      </c>
      <c r="O35" s="38" t="n">
        <f aca="false">3*($C$6+$C$7)+$B$7*T34+$B$9*O34+$B$6*U39+$B$8*P39</f>
        <v>185.948627371328</v>
      </c>
      <c r="P35" s="38" t="n">
        <f aca="false">3*($C$6+$C$7)+$B$7*U34+$B$9*P34+$B$6*U34+$B$8*P34</f>
        <v>175.478126275466</v>
      </c>
      <c r="Q35" s="38" t="n">
        <f aca="false">4*($C$6+$C$7)+$B$7*V34+$B$9*Q34+$B$6*W39+$B$8*R39</f>
        <v>196.2632514227</v>
      </c>
      <c r="R35" s="38" t="n">
        <f aca="false">4*($C$6+$C$7)+$B$7*W34+$B$9*R34+$B$6*X39+$B$8*S39</f>
        <v>196.227704919651</v>
      </c>
      <c r="S35" s="38" t="n">
        <f aca="false">4*($C$6+$C$7)+$B$7*X34+$B$9*S34+$B$6*Y39+$B$8*T39</f>
        <v>195.976120063819</v>
      </c>
      <c r="T35" s="38" t="n">
        <f aca="false">4*($C$6+$C$7)+$B$7*Y34+$B$9*T34+$B$6*Z39+$B$8*U39</f>
        <v>194.272238157512</v>
      </c>
      <c r="U35" s="38" t="n">
        <f aca="false">4*($C$6+$C$7)+$B$7*Z34+$B$9*U34+$B$6*Z34+$B$8*U34</f>
        <v>183.801650243174</v>
      </c>
      <c r="V35" s="38" t="n">
        <f aca="false">5*($C$6+$C$7)+$B$7*V34+$B$9*V34+$B$6*W39+$B$8*W39</f>
        <v>200.425188310985</v>
      </c>
      <c r="W35" s="38" t="n">
        <f aca="false">5*($C$6+$C$7)+$B$7*W34+$B$9*W34+$B$6*X39+$B$8*X39</f>
        <v>200.389641807934</v>
      </c>
      <c r="X35" s="38" t="n">
        <f aca="false">5*($C$6+$C$7)+$B$7*X34+$B$9*X34+$B$6*Y39+$B$8*Y39</f>
        <v>200.138056951867</v>
      </c>
      <c r="Y35" s="38" t="n">
        <f aca="false">5*($C$6+$C$7)+$B$7*Y34+$B$9*Y34+$B$6*Z39+$B$8*Z39</f>
        <v>198.434175010973</v>
      </c>
      <c r="Z35" s="38" t="n">
        <f aca="false">5*($C$6+$C$7)+$B$7*Z34+$B$9*Z34+$B$6*Z34+$B$8*Z34</f>
        <v>187.963582475401</v>
      </c>
    </row>
    <row r="36" customFormat="false" ht="15" hidden="false" customHeight="false" outlineLevel="0" collapsed="false">
      <c r="A36" s="7" t="n">
        <v>20</v>
      </c>
      <c r="B36" s="38" t="n">
        <f aca="false">1*($C$6+$C$7)+$B$7*G35+$B$9*B35+$B$6*H40+$B$8*C40</f>
        <v>169.365266617046</v>
      </c>
      <c r="C36" s="38" t="n">
        <f aca="false">1*($C$6+$C$7)+$B$7*H35+$B$9*C35+$B$6*I40+$B$8*D40</f>
        <v>169.325139543465</v>
      </c>
      <c r="D36" s="38" t="n">
        <f aca="false">1*($C$6+$C$7)+$B$7*I35+$B$9*D35+$B$6*J40+$B$8*E40</f>
        <v>169.046397045495</v>
      </c>
      <c r="E36" s="38" t="n">
        <f aca="false">1*($C$6+$C$7)+$B$7*J35+$B$9*E35+$B$6*K40+$B$8*F40</f>
        <v>167.204066727243</v>
      </c>
      <c r="F36" s="38" t="n">
        <f aca="false">1*($C$6+$C$7)+$B$7*K35+$B$9*F35+$B$6*K35+$B$8*F35</f>
        <v>156.251771624724</v>
      </c>
      <c r="G36" s="38" t="n">
        <f aca="false">2*($C$6+$C$7)+$B$7*L35+$B$9*G35+$B$6*M40+$B$8*H40</f>
        <v>186.003342584802</v>
      </c>
      <c r="H36" s="38" t="n">
        <f aca="false">2*($C$6+$C$7)+$B$7*M35+$B$9*H35+$B$6*N40+$B$8*I40</f>
        <v>185.963215506404</v>
      </c>
      <c r="I36" s="38" t="n">
        <f aca="false">2*($C$6+$C$7)+$B$7*N35+$B$9*I35+$B$6*O40+$B$8*J40</f>
        <v>185.684472537613</v>
      </c>
      <c r="J36" s="38" t="n">
        <f aca="false">2*($C$6+$C$7)+$B$7*O35+$B$9*J35+$B$6*P40+$B$8*K40</f>
        <v>183.842101467113</v>
      </c>
      <c r="K36" s="38" t="n">
        <f aca="false">2*($C$6+$C$7)+$B$7*P35+$B$9*K35+$B$6*P35+$B$8*K35</f>
        <v>172.886935587374</v>
      </c>
      <c r="L36" s="38" t="n">
        <f aca="false">3*($C$6+$C$7)+$B$7*Q35+$B$9*L35+$B$6*R40+$B$8*M40</f>
        <v>198.487650992567</v>
      </c>
      <c r="M36" s="38" t="n">
        <f aca="false">3*($C$6+$C$7)+$B$7*R35+$B$9*M35+$B$6*S40+$B$8*N40</f>
        <v>198.447523913702</v>
      </c>
      <c r="N36" s="38" t="n">
        <f aca="false">3*($C$6+$C$7)+$B$7*S35+$B$9*N35+$B$6*T40+$B$8*O40</f>
        <v>198.168780891971</v>
      </c>
      <c r="O36" s="38" t="n">
        <f aca="false">3*($C$6+$C$7)+$B$7*T35+$B$9*O35+$B$6*U40+$B$8*P40</f>
        <v>196.32640437395</v>
      </c>
      <c r="P36" s="38" t="n">
        <f aca="false">3*($C$6+$C$7)+$B$7*U35+$B$9*P35+$B$6*U35+$B$8*P35</f>
        <v>185.370765733056</v>
      </c>
      <c r="Q36" s="38" t="n">
        <f aca="false">4*($C$6+$C$7)+$B$7*V35+$B$9*Q35+$B$6*W40+$B$8*R40</f>
        <v>206.811396615032</v>
      </c>
      <c r="R36" s="38" t="n">
        <f aca="false">4*($C$6+$C$7)+$B$7*W35+$B$9*R35+$B$6*X40+$B$8*S40</f>
        <v>206.771269536137</v>
      </c>
      <c r="S36" s="38" t="n">
        <f aca="false">4*($C$6+$C$7)+$B$7*X35+$B$9*S35+$B$6*Y40+$B$8*T40</f>
        <v>206.49252651055</v>
      </c>
      <c r="T36" s="38" t="n">
        <f aca="false">4*($C$6+$C$7)+$B$7*Y35+$B$9*T35+$B$6*Z40+$B$8*U40</f>
        <v>204.650149522888</v>
      </c>
      <c r="U36" s="38" t="n">
        <f aca="false">4*($C$6+$C$7)+$B$7*Z35+$B$9*U35+$B$6*Z35+$B$8*U35</f>
        <v>193.694460972044</v>
      </c>
      <c r="V36" s="38" t="n">
        <f aca="false">5*($C$6+$C$7)+$B$7*V35+$B$9*V35+$B$6*W40+$B$8*W40</f>
        <v>210.973340802558</v>
      </c>
      <c r="W36" s="38" t="n">
        <f aca="false">5*($C$6+$C$7)+$B$7*W35+$B$9*W35+$B$6*X40+$B$8*X40</f>
        <v>210.933213723662</v>
      </c>
      <c r="X36" s="38" t="n">
        <f aca="false">5*($C$6+$C$7)+$B$7*X35+$B$9*X35+$B$6*Y40+$B$8*Y40</f>
        <v>210.654470697938</v>
      </c>
      <c r="Y36" s="38" t="n">
        <f aca="false">5*($C$6+$C$7)+$B$7*Y35+$B$9*Y35+$B$6*Z40+$B$8*Z40</f>
        <v>208.812093690684</v>
      </c>
      <c r="Z36" s="38" t="n">
        <f aca="false">5*($C$6+$C$7)+$B$7*Z35+$B$9*Z35+$B$6*Z35+$B$8*Z35</f>
        <v>197.856402605685</v>
      </c>
    </row>
    <row r="37" customFormat="false" ht="15" hidden="false" customHeight="false" outlineLevel="0" collapsed="false">
      <c r="A37" s="7" t="n">
        <v>21</v>
      </c>
      <c r="C37" s="38" t="n">
        <f aca="false">1*($C$6+$C$7)+$B$7*H36+$B$9*C36+$B$6*I41+$B$8*D41</f>
        <v>179.863522335497</v>
      </c>
      <c r="D37" s="38" t="n">
        <f aca="false">1*($C$6+$C$7)+$B$7*I36+$B$9*D36+$B$6*J41+$B$8*E41</f>
        <v>179.556005540997</v>
      </c>
      <c r="E37" s="38" t="n">
        <f aca="false">1*($C$6+$C$7)+$B$7*J36+$B$9*E36+$B$6*K41+$B$8*F41</f>
        <v>177.571217103525</v>
      </c>
      <c r="F37" s="38" t="n">
        <f aca="false">1*($C$6+$C$7)+$B$7*K36+$B$9*F36+$B$6*K36+$B$8*F36</f>
        <v>166.138580848798</v>
      </c>
      <c r="H37" s="38" t="n">
        <f aca="false">2*($C$6+$C$7)+$B$7*M36+$B$9*H36+$B$6*N41+$B$8*I41</f>
        <v>196.50556538036</v>
      </c>
      <c r="I37" s="38" t="n">
        <f aca="false">2*($C$6+$C$7)+$B$7*N36+$B$9*I36+$B$6*O41+$B$8*J41</f>
        <v>196.198048285985</v>
      </c>
      <c r="J37" s="38" t="n">
        <f aca="false">2*($C$6+$C$7)+$B$7*O36+$B$9*J36+$B$6*P41+$B$8*K41</f>
        <v>194.213234054174</v>
      </c>
      <c r="K37" s="38" t="n">
        <f aca="false">2*($C$6+$C$7)+$B$7*P36+$B$9*K36+$B$6*P36+$B$8*K36</f>
        <v>182.77879262828</v>
      </c>
      <c r="M37" s="38" t="n">
        <f aca="false">3*($C$6+$C$7)+$B$7*R36+$B$9*M36+$B$6*S41+$B$8*N41</f>
        <v>208.990546108127</v>
      </c>
      <c r="N37" s="38" t="n">
        <f aca="false">3*($C$6+$C$7)+$B$7*S36+$B$9*N36+$B$6*T41+$B$8*O41</f>
        <v>208.683028981134</v>
      </c>
      <c r="O37" s="38" t="n">
        <f aca="false">3*($C$6+$C$7)+$B$7*T36+$B$9*O36+$B$6*U41+$B$8*P41</f>
        <v>206.698211433904</v>
      </c>
      <c r="P37" s="38" t="n">
        <f aca="false">3*($C$6+$C$7)+$B$7*U36+$B$9*P36+$B$6*U36+$B$8*P36</f>
        <v>195.263486611861</v>
      </c>
      <c r="R37" s="38" t="n">
        <f aca="false">4*($C$6+$C$7)+$B$7*W36+$B$9*R36+$B$6*X41+$B$8*S41</f>
        <v>217.314364503971</v>
      </c>
      <c r="S37" s="38" t="n">
        <f aca="false">4*($C$6+$C$7)+$B$7*X36+$B$9*S36+$B$6*Y41+$B$8*T41</f>
        <v>217.006847374678</v>
      </c>
      <c r="T37" s="38" t="n">
        <f aca="false">4*($C$6+$C$7)+$B$7*Y36+$B$9*T36+$B$6*Z41+$B$8*U41</f>
        <v>215.022029552337</v>
      </c>
      <c r="U37" s="38" t="n">
        <f aca="false">4*($C$6+$C$7)+$B$7*Z36+$B$9*U36+$B$6*Z36+$B$8*U36</f>
        <v>203.587276170283</v>
      </c>
      <c r="W37" s="38" t="n">
        <f aca="false">5*($C$6+$C$7)+$B$7*W36+$B$9*W36+$B$6*X41+$B$8*X41</f>
        <v>221.476312467004</v>
      </c>
      <c r="X37" s="38" t="n">
        <f aca="false">5*($C$6+$C$7)+$B$7*X36+$B$9*X36+$B$6*Y41+$B$8*Y41</f>
        <v>221.168795337632</v>
      </c>
      <c r="Y37" s="38" t="n">
        <f aca="false">5*($C$6+$C$7)+$B$7*Y36+$B$9*Y36+$B$6*Z41+$B$8*Z41</f>
        <v>219.183977504233</v>
      </c>
      <c r="Z37" s="38" t="n">
        <f aca="false">5*($C$6+$C$7)+$B$7*Z36+$B$9*Z36+$B$6*Z36+$B$8*Z36</f>
        <v>207.749222735969</v>
      </c>
    </row>
    <row r="38" customFormat="false" ht="15" hidden="false" customHeight="false" outlineLevel="0" collapsed="false">
      <c r="A38" s="7" t="n">
        <v>22</v>
      </c>
      <c r="C38" s="38" t="n">
        <f aca="false">1*($C$6+$C$7)+$B$7*H37+$B$9*C37+$B$6*I42+$B$8*D42</f>
        <v>190.403332126087</v>
      </c>
      <c r="D38" s="38" t="n">
        <f aca="false">1*($C$6+$C$7)+$B$7*I37+$B$9*D37+$B$6*J42+$B$8*E42</f>
        <v>190.06540333663</v>
      </c>
      <c r="E38" s="38" t="n">
        <f aca="false">1*($C$6+$C$7)+$B$7*J37+$B$9*E37+$B$6*K42+$B$8*F42</f>
        <v>187.934336902247</v>
      </c>
      <c r="F38" s="38" t="n">
        <f aca="false">1*($C$6+$C$7)+$B$7*K37+$B$9*F37+$B$6*K37+$B$8*F37</f>
        <v>176.027789771085</v>
      </c>
      <c r="H38" s="38" t="n">
        <f aca="false">2*($C$6+$C$7)+$B$7*M37+$B$9*H37+$B$6*N42+$B$8*I42</f>
        <v>207.047744754615</v>
      </c>
      <c r="I38" s="38" t="n">
        <f aca="false">2*($C$6+$C$7)+$B$7*N37+$B$9*I37+$B$6*O42+$B$8*J42</f>
        <v>206.709815775487</v>
      </c>
      <c r="J38" s="38" t="n">
        <f aca="false">2*($C$6+$C$7)+$B$7*O37+$B$9*J37+$B$6*P42+$B$8*K42</f>
        <v>204.578733137054</v>
      </c>
      <c r="K38" s="38" t="n">
        <f aca="false">2*($C$6+$C$7)+$B$7*P37+$B$9*K37+$B$6*P37+$B$8*K37</f>
        <v>192.671060331921</v>
      </c>
      <c r="M38" s="38" t="n">
        <f aca="false">3*($C$6+$C$7)+$B$7*R37+$B$9*M37+$B$6*S42+$B$8*N42</f>
        <v>219.533107603632</v>
      </c>
      <c r="N38" s="38" t="n">
        <f aca="false">3*($C$6+$C$7)+$B$7*S37+$B$9*N37+$B$6*T42+$B$8*O42</f>
        <v>219.195178604527</v>
      </c>
      <c r="O38" s="38" t="n">
        <f aca="false">3*($C$6+$C$7)+$B$7*T37+$B$9*O37+$B$6*U42+$B$8*P42</f>
        <v>217.064093960547</v>
      </c>
      <c r="P38" s="38" t="n">
        <f aca="false">3*($C$6+$C$7)+$B$7*U37+$B$9*P37+$B$6*U37+$B$8*P37</f>
        <v>205.156252329492</v>
      </c>
      <c r="R38" s="38" t="n">
        <f aca="false">4*($C$6+$C$7)+$B$7*W37+$B$9*R37+$B$6*X42+$B$8*S42</f>
        <v>227.85696542356</v>
      </c>
      <c r="S38" s="38" t="n">
        <f aca="false">4*($C$6+$C$7)+$B$7*X37+$B$9*S37+$B$6*Y42+$B$8*T42</f>
        <v>227.519036423089</v>
      </c>
      <c r="T38" s="38" t="n">
        <f aca="false">4*($C$6+$C$7)+$B$7*Y37+$B$9*T37+$B$6*Z42+$B$8*U42</f>
        <v>225.387951618708</v>
      </c>
      <c r="U38" s="38" t="n">
        <f aca="false">4*($C$6+$C$7)+$B$7*Z37+$B$9*U37+$B$6*Z37+$B$8*U37</f>
        <v>213.480093713183</v>
      </c>
      <c r="W38" s="38" t="n">
        <f aca="false">5*($C$6+$C$7)+$B$7*W37+$B$9*W37+$B$6*X42+$B$8*X42</f>
        <v>232.018915339461</v>
      </c>
      <c r="X38" s="38" t="n">
        <f aca="false">5*($C$6+$C$7)+$B$7*X37+$B$9*X37+$B$6*Y42+$B$8*Y42</f>
        <v>231.680986338945</v>
      </c>
      <c r="Y38" s="38" t="n">
        <f aca="false">5*($C$6+$C$7)+$B$7*Y37+$B$9*Y37+$B$6*Z42+$B$8*Z42</f>
        <v>229.549901528344</v>
      </c>
      <c r="Z38" s="38" t="n">
        <f aca="false">5*($C$6+$C$7)+$B$7*Z37+$B$9*Z37+$B$6*Z37+$B$8*Z37</f>
        <v>217.642042866253</v>
      </c>
    </row>
    <row r="39" customFormat="false" ht="15" hidden="false" customHeight="false" outlineLevel="0" collapsed="false">
      <c r="A39" s="7" t="n">
        <v>23</v>
      </c>
      <c r="C39" s="38" t="n">
        <f aca="false">1*($C$6+$C$7)+$B$7*H38+$B$9*C38+$B$6*I43+$B$8*D43</f>
        <v>200.943771473649</v>
      </c>
      <c r="D39" s="38" t="n">
        <f aca="false">1*($C$6+$C$7)+$B$7*I38+$B$9*D38+$B$6*J43+$B$8*E43</f>
        <v>200.573772750601</v>
      </c>
      <c r="E39" s="38" t="n">
        <f aca="false">1*($C$6+$C$7)+$B$7*J38+$B$9*E38+$B$6*K43+$B$8*F43</f>
        <v>198.292723466783</v>
      </c>
      <c r="F39" s="38" t="n">
        <f aca="false">1*($C$6+$C$7)+$B$7*K38+$B$9*F38+$B$6*K38+$B$8*F38</f>
        <v>185.91845281748</v>
      </c>
      <c r="H39" s="38" t="n">
        <f aca="false">2*($C$6+$C$7)+$B$7*M38+$B$9*H38+$B$6*N43+$B$8*I43</f>
        <v>217.589590279767</v>
      </c>
      <c r="I39" s="38" t="n">
        <f aca="false">2*($C$6+$C$7)+$B$7*N38+$B$9*I38+$B$6*O43+$B$8*J43</f>
        <v>217.219591437528</v>
      </c>
      <c r="J39" s="38" t="n">
        <f aca="false">2*($C$6+$C$7)+$B$7*O38+$B$9*J38+$B$6*P43+$B$8*K43</f>
        <v>214.938532045061</v>
      </c>
      <c r="K39" s="38" t="n">
        <f aca="false">2*($C$6+$C$7)+$B$7*P38+$B$9*K38+$B$6*P38+$B$8*K38</f>
        <v>202.563564788067</v>
      </c>
      <c r="M39" s="38" t="n">
        <f aca="false">3*($C$6+$C$7)+$B$7*R38+$B$9*M38+$B$6*S43+$B$8*N43</f>
        <v>230.075169396637</v>
      </c>
      <c r="N39" s="38" t="n">
        <f aca="false">3*($C$6+$C$7)+$B$7*S38+$B$9*N38+$B$6*T43+$B$8*O43</f>
        <v>229.70517054223</v>
      </c>
      <c r="O39" s="38" t="n">
        <f aca="false">3*($C$6+$C$7)+$B$7*T38+$B$9*O38+$B$6*U43+$B$8*P43</f>
        <v>227.424109943387</v>
      </c>
      <c r="P39" s="38" t="n">
        <f aca="false">3*($C$6+$C$7)+$B$7*U38+$B$9*P38+$B$6*U38+$B$8*P38</f>
        <v>215.049042684507</v>
      </c>
      <c r="R39" s="38" t="n">
        <f aca="false">4*($C$6+$C$7)+$B$7*W38+$B$9*R38+$B$6*X43+$B$8*S43</f>
        <v>238.399048530419</v>
      </c>
      <c r="S39" s="38" t="n">
        <f aca="false">4*($C$6+$C$7)+$B$7*X38+$B$9*S38+$B$6*Y43+$B$8*T43</f>
        <v>238.029049675205</v>
      </c>
      <c r="T39" s="38" t="n">
        <f aca="false">4*($C$6+$C$7)+$B$7*Y38+$B$9*T38+$B$6*Z43+$B$8*U43</f>
        <v>235.747988983245</v>
      </c>
      <c r="U39" s="38" t="n">
        <f aca="false">4*($C$6+$C$7)+$B$7*Z38+$B$9*U38+$B$6*Z38+$B$8*U38</f>
        <v>223.372912486108</v>
      </c>
      <c r="W39" s="38" t="n">
        <f aca="false">5*($C$6+$C$7)+$B$7*W38+$B$9*W38+$B$6*X43+$B$8*X43</f>
        <v>242.560999456435</v>
      </c>
      <c r="X39" s="38" t="n">
        <f aca="false">5*($C$6+$C$7)+$B$7*X38+$B$9*X38+$B$6*Y43+$B$8*Y43</f>
        <v>242.191000601196</v>
      </c>
      <c r="Y39" s="38" t="n">
        <f aca="false">5*($C$6+$C$7)+$B$7*Y38+$B$9*Y38+$B$6*Z43+$B$8*Z43</f>
        <v>239.909939905748</v>
      </c>
      <c r="Z39" s="38" t="n">
        <f aca="false">5*($C$6+$C$7)+$B$7*Z38+$B$9*Z38+$B$6*Z38+$B$8*Z38</f>
        <v>227.534862996538</v>
      </c>
    </row>
    <row r="40" customFormat="false" ht="15" hidden="false" customHeight="false" outlineLevel="0" collapsed="false">
      <c r="A40" s="7" t="n">
        <v>24</v>
      </c>
      <c r="C40" s="38" t="n">
        <f aca="false">1*($C$6+$C$7)+$B$7*H39+$B$9*C39+$B$6*I44+$B$8*D44</f>
        <v>211.484350325958</v>
      </c>
      <c r="D40" s="38" t="n">
        <f aca="false">1*($C$6+$C$7)+$B$7*I39+$B$9*D39+$B$6*J44+$B$8*E44</f>
        <v>211.080605068951</v>
      </c>
      <c r="E40" s="38" t="n">
        <f aca="false">1*($C$6+$C$7)+$B$7*J39+$B$9*E39+$B$6*K44+$B$8*F44</f>
        <v>208.645981542551</v>
      </c>
      <c r="F40" s="38" t="n">
        <f aca="false">1*($C$6+$C$7)+$B$7*K39+$B$9*F39+$B$6*K39+$B$8*F39</f>
        <v>195.8099912577</v>
      </c>
      <c r="H40" s="38" t="n">
        <f aca="false">2*($C$6+$C$7)+$B$7*M39+$B$9*H39+$B$6*N44+$B$8*I44</f>
        <v>228.130998636571</v>
      </c>
      <c r="I40" s="38" t="n">
        <f aca="false">2*($C$6+$C$7)+$B$7*N39+$B$9*I39+$B$6*O44+$B$8*J44</f>
        <v>227.727253305116</v>
      </c>
      <c r="J40" s="38" t="n">
        <f aca="false">2*($C$6+$C$7)+$B$7*O39+$B$9*J39+$B$6*P44+$B$8*K44</f>
        <v>225.292623513287</v>
      </c>
      <c r="K40" s="38" t="n">
        <f aca="false">2*($C$6+$C$7)+$B$7*P39+$B$9*K39+$B$6*P39+$B$8*K39</f>
        <v>212.456205158615</v>
      </c>
      <c r="M40" s="38" t="n">
        <f aca="false">3*($C$6+$C$7)+$B$7*R39+$B$9*M39+$B$6*S44+$B$8*N44</f>
        <v>240.616699681987</v>
      </c>
      <c r="N40" s="38" t="n">
        <f aca="false">3*($C$6+$C$7)+$B$7*S39+$B$9*N39+$B$6*T44+$B$8*O44</f>
        <v>240.212954343158</v>
      </c>
      <c r="O40" s="38" t="n">
        <f aca="false">3*($C$6+$C$7)+$B$7*T39+$B$9*O39+$B$6*U44+$B$8*P44</f>
        <v>237.778323829449</v>
      </c>
      <c r="P40" s="38" t="n">
        <f aca="false">3*($C$6+$C$7)+$B$7*U39+$B$9*P39+$B$6*U39+$B$8*P39</f>
        <v>224.941846549206</v>
      </c>
      <c r="R40" s="38" t="n">
        <f aca="false">4*($C$6+$C$7)+$B$7*W39+$B$9*R39+$B$6*X44+$B$8*S44</f>
        <v>248.940590317128</v>
      </c>
      <c r="S40" s="38" t="n">
        <f aca="false">4*($C$6+$C$7)+$B$7*X39+$B$9*S39+$B$6*Y44+$B$8*T44</f>
        <v>248.536844977825</v>
      </c>
      <c r="T40" s="38" t="n">
        <f aca="false">4*($C$6+$C$7)+$B$7*Y39+$B$9*T39+$B$6*Z44+$B$8*U44</f>
        <v>246.102214410275</v>
      </c>
      <c r="U40" s="38" t="n">
        <f aca="false">4*($C$6+$C$7)+$B$7*Z39+$B$9*U39+$B$6*Z39+$B$8*U39</f>
        <v>233.265731904312</v>
      </c>
      <c r="W40" s="38" t="n">
        <f aca="false">5*($C$6+$C$7)+$B$7*W39+$B$9*W39+$B$6*X44+$B$8*X44</f>
        <v>253.102541765623</v>
      </c>
      <c r="X40" s="38" t="n">
        <f aca="false">5*($C$6+$C$7)+$B$7*X39+$B$9*X39+$B$6*Y44+$B$8*Y44</f>
        <v>252.698796426304</v>
      </c>
      <c r="Y40" s="38" t="n">
        <f aca="false">5*($C$6+$C$7)+$B$7*Y39+$B$9*Y39+$B$6*Z44+$B$8*Z44</f>
        <v>250.264165856805</v>
      </c>
      <c r="Z40" s="38" t="n">
        <f aca="false">5*($C$6+$C$7)+$B$7*Z39+$B$9*Z39+$B$6*Z39+$B$8*Z39</f>
        <v>237.427683126822</v>
      </c>
    </row>
    <row r="41" customFormat="false" ht="15" hidden="false" customHeight="false" outlineLevel="0" collapsed="false">
      <c r="A41" s="7" t="n">
        <v>25</v>
      </c>
      <c r="D41" s="38" t="n">
        <f aca="false">1*($C$6+$C$7)+$B$7*I40+$B$9*D40+$B$6*J45+$B$8*E45</f>
        <v>221.58558048272</v>
      </c>
      <c r="E41" s="38" t="n">
        <f aca="false">1*($C$6+$C$7)+$B$7*J40+$B$9*E40+$B$6*K45+$B$8*F45</f>
        <v>218.993903005141</v>
      </c>
      <c r="F41" s="38" t="n">
        <f aca="false">1*($C$6+$C$7)+$B$7*K40+$B$9*F40+$B$6*K40+$B$8*F40</f>
        <v>205.702053548196</v>
      </c>
      <c r="I41" s="38" t="n">
        <f aca="false">2*($C$6+$C$7)+$B$7*N40+$B$9*I40+$B$6*O45+$B$8*J45</f>
        <v>238.23271540214</v>
      </c>
      <c r="J41" s="38" t="n">
        <f aca="false">2*($C$6+$C$7)+$B$7*O40+$B$9*J40+$B$6*P45+$B$8*K45</f>
        <v>235.641034064525</v>
      </c>
      <c r="K41" s="38" t="n">
        <f aca="false">2*($C$6+$C$7)+$B$7*P40+$B$9*K40+$B$6*P40+$B$8*K40</f>
        <v>222.348923253184</v>
      </c>
      <c r="N41" s="38" t="n">
        <f aca="false">3*($C$6+$C$7)+$B$7*S40+$B$9*N40+$B$6*T45+$B$8*O45</f>
        <v>250.718484941285</v>
      </c>
      <c r="O41" s="38" t="n">
        <f aca="false">3*($C$6+$C$7)+$B$7*T40+$B$9*O40+$B$6*U45+$B$8*P45</f>
        <v>248.126803173797</v>
      </c>
      <c r="P41" s="38" t="n">
        <f aca="false">3*($C$6+$C$7)+$B$7*U40+$B$9*P40+$B$6*U40+$B$8*P40</f>
        <v>234.834657807937</v>
      </c>
      <c r="S41" s="38" t="n">
        <f aca="false">4*($C$6+$C$7)+$B$7*X40+$B$9*S40+$B$6*Y45+$B$8*T45</f>
        <v>259.04238177183</v>
      </c>
      <c r="T41" s="38" t="n">
        <f aca="false">4*($C$6+$C$7)+$B$7*Y40+$B$9*T40+$B$6*Z45+$B$8*U45</f>
        <v>256.450699973327</v>
      </c>
      <c r="U41" s="38" t="n">
        <f aca="false">4*($C$6+$C$7)+$B$7*Z40+$B$9*U40+$B$6*Z40+$B$8*U40</f>
        <v>243.158551661035</v>
      </c>
      <c r="X41" s="38" t="n">
        <f aca="false">5*($C$6+$C$7)+$B$7*X40+$B$9*X40+$B$6*Y45+$B$8*Y45</f>
        <v>263.204333490567</v>
      </c>
      <c r="Y41" s="38" t="n">
        <f aca="false">5*($C$6+$C$7)+$B$7*Y40+$B$9*Y40+$B$6*Z45+$B$8*Z45</f>
        <v>260.612651690976</v>
      </c>
      <c r="Z41" s="38" t="n">
        <f aca="false">5*($C$6+$C$7)+$B$7*Z40+$B$9*Z40+$B$6*Z40+$B$8*Z40</f>
        <v>247.320503257106</v>
      </c>
    </row>
    <row r="42" customFormat="false" ht="15" hidden="false" customHeight="false" outlineLevel="0" collapsed="false">
      <c r="A42" s="7" t="n">
        <v>26</v>
      </c>
      <c r="D42" s="38" t="n">
        <f aca="false">1*($C$6+$C$7)+$B$7*I41+$B$9*D41+$B$6*J46+$B$8*E46</f>
        <v>232.088493884422</v>
      </c>
      <c r="E42" s="38" t="n">
        <f aca="false">1*($C$6+$C$7)+$B$7*J41+$B$9*E41+$B$6*K46+$B$8*F46</f>
        <v>229.336392523684</v>
      </c>
      <c r="F42" s="38" t="n">
        <f aca="false">1*($C$6+$C$7)+$B$7*K41+$B$9*F41+$B$6*K41+$B$8*F41</f>
        <v>215.594427603543</v>
      </c>
      <c r="I42" s="38" t="n">
        <f aca="false">2*($C$6+$C$7)+$B$7*N41+$B$9*I41+$B$6*O46+$B$8*J46</f>
        <v>248.735912898457</v>
      </c>
      <c r="J42" s="38" t="n">
        <f aca="false">2*($C$6+$C$7)+$B$7*O41+$B$9*J41+$B$6*P46+$B$8*K46</f>
        <v>245.983809172945</v>
      </c>
      <c r="K42" s="38" t="n">
        <f aca="false">2*($C$6+$C$7)+$B$7*P41+$B$9*K41+$B$6*P41+$B$8*K41</f>
        <v>232.24168563737</v>
      </c>
      <c r="N42" s="38" t="n">
        <f aca="false">3*($C$6+$C$7)+$B$7*S41+$B$9*N41+$B$6*T46+$B$8*O46</f>
        <v>261.221720795452</v>
      </c>
      <c r="O42" s="38" t="n">
        <f aca="false">3*($C$6+$C$7)+$B$7*T41+$B$9*O41+$B$6*U46+$B$8*P46</f>
        <v>258.469616815109</v>
      </c>
      <c r="P42" s="38" t="n">
        <f aca="false">3*($C$6+$C$7)+$B$7*U41+$B$9*P41+$B$6*U41+$B$8*P41</f>
        <v>244.727473106556</v>
      </c>
      <c r="S42" s="38" t="n">
        <f aca="false">4*($C$6+$C$7)+$B$7*X41+$B$9*S41+$B$6*Y46+$B$8*T46</f>
        <v>269.545620958384</v>
      </c>
      <c r="T42" s="38" t="n">
        <f aca="false">4*($C$6+$C$7)+$B$7*Y41+$B$9*T41+$B$6*Z46+$B$8*U46</f>
        <v>266.793516960238</v>
      </c>
      <c r="U42" s="38" t="n">
        <f aca="false">4*($C$6+$C$7)+$B$7*Z41+$B$9*U41+$B$6*Z41+$B$8*U41</f>
        <v>253.051371595346</v>
      </c>
      <c r="X42" s="38" t="n">
        <f aca="false">5*($C$6+$C$7)+$B$7*X41+$B$9*X41+$B$6*Y46+$B$8*Y46</f>
        <v>273.707572816911</v>
      </c>
      <c r="Y42" s="38" t="n">
        <f aca="false">5*($C$6+$C$7)+$B$7*Y41+$B$9*Y41+$B$6*Z46+$B$8*Z46</f>
        <v>270.955468818159</v>
      </c>
      <c r="Z42" s="38" t="n">
        <f aca="false">5*($C$6+$C$7)+$B$7*Z41+$B$9*Z41+$B$6*Z41+$B$8*Z41</f>
        <v>257.21332338739</v>
      </c>
    </row>
    <row r="43" customFormat="false" ht="15" hidden="false" customHeight="false" outlineLevel="0" collapsed="false">
      <c r="A43" s="7" t="n">
        <v>27</v>
      </c>
      <c r="D43" s="38" t="n">
        <f aca="false">1*($C$6+$C$7)+$B$7*I42+$B$9*D42+$B$6*J47+$B$8*E47</f>
        <v>242.589209472556</v>
      </c>
      <c r="E43" s="38" t="n">
        <f aca="false">1*($C$6+$C$7)+$B$7*J42+$B$9*E42+$B$6*K47+$B$8*F47</f>
        <v>239.673422086883</v>
      </c>
      <c r="F43" s="38" t="n">
        <f aca="false">1*($C$6+$C$7)+$B$7*K42+$B$9*F42+$B$6*K42+$B$8*F42</f>
        <v>225.486986267811</v>
      </c>
      <c r="I43" s="38" t="n">
        <f aca="false">2*($C$6+$C$7)+$B$7*N42+$B$9*I42+$B$6*O47+$B$8*J47</f>
        <v>259.236793553093</v>
      </c>
      <c r="J43" s="38" t="n">
        <f aca="false">2*($C$6+$C$7)+$B$7*O42+$B$9*J42+$B$6*P47+$B$8*K47</f>
        <v>256.321004726288</v>
      </c>
      <c r="K43" s="38" t="n">
        <f aca="false">2*($C$6+$C$7)+$B$7*P42+$B$9*K42+$B$6*P42+$B$8*K42</f>
        <v>242.134473176722</v>
      </c>
      <c r="N43" s="38" t="n">
        <f aca="false">3*($C$6+$C$7)+$B$7*S42+$B$9*N42+$B$6*T47+$B$8*O47</f>
        <v>271.722622864204</v>
      </c>
      <c r="O43" s="38" t="n">
        <f aca="false">3*($C$6+$C$7)+$B$7*T42+$B$9*O42+$B$6*U47+$B$8*P47</f>
        <v>268.806833886971</v>
      </c>
      <c r="P43" s="38" t="n">
        <f aca="false">3*($C$6+$C$7)+$B$7*U42+$B$9*P42+$B$6*U42+$B$8*P42</f>
        <v>254.620290608952</v>
      </c>
      <c r="S43" s="38" t="n">
        <f aca="false">4*($C$6+$C$7)+$B$7*X42+$B$9*S42+$B$6*Y47+$B$8*T47</f>
        <v>280.046524816798</v>
      </c>
      <c r="T43" s="38" t="n">
        <f aca="false">4*($C$6+$C$7)+$B$7*Y42+$B$9*T42+$B$6*Z47+$B$8*U47</f>
        <v>277.130735829378</v>
      </c>
      <c r="U43" s="38" t="n">
        <f aca="false">4*($C$6+$C$7)+$B$7*Z42+$B$9*U42+$B$6*Z42+$B$8*U42</f>
        <v>262.944191622822</v>
      </c>
      <c r="X43" s="38" t="n">
        <f aca="false">5*($C$6+$C$7)+$B$7*X42+$B$9*X42+$B$6*Y47+$B$8*Y47</f>
        <v>284.20847674763</v>
      </c>
      <c r="Y43" s="38" t="n">
        <f aca="false">5*($C$6+$C$7)+$B$7*Y42+$B$9*Y42+$B$6*Z47+$B$8*Z47</f>
        <v>281.292687759874</v>
      </c>
      <c r="Z43" s="38" t="n">
        <f aca="false">5*($C$6+$C$7)+$B$7*Z42+$B$9*Z42+$B$6*Z42+$B$8*Z42</f>
        <v>267.106143517675</v>
      </c>
    </row>
    <row r="44" customFormat="false" ht="15" hidden="false" customHeight="false" outlineLevel="0" collapsed="false">
      <c r="A44" s="7" t="n">
        <v>28</v>
      </c>
      <c r="D44" s="38" t="n">
        <f aca="false">1*($C$6+$C$7)+$B$7*I43+$B$9*D43+$B$6*J48+$B$8*E48</f>
        <v>253.08763322827</v>
      </c>
      <c r="E44" s="38" t="n">
        <f aca="false">1*($C$6+$C$7)+$B$7*J43+$B$9*E43+$B$6*K48+$B$8*F48</f>
        <v>250.005003439374</v>
      </c>
      <c r="F44" s="38" t="n">
        <f aca="false">1*($C$6+$C$7)+$B$7*K43+$B$9*F43+$B$6*K43+$B$8*F43</f>
        <v>235.379653737756</v>
      </c>
      <c r="I44" s="38" t="n">
        <f aca="false">2*($C$6+$C$7)+$B$7*N43+$B$9*I43+$B$6*O48+$B$8*J48</f>
        <v>269.73531280432</v>
      </c>
      <c r="J44" s="38" t="n">
        <f aca="false">2*($C$6+$C$7)+$B$7*O43+$B$9*J43+$B$6*P48+$B$8*K48</f>
        <v>266.652682141493</v>
      </c>
      <c r="K44" s="38" t="n">
        <f aca="false">2*($C$6+$C$7)+$B$7*P43+$B$9*K43+$B$6*P43+$B$8*K43</f>
        <v>252.027274960303</v>
      </c>
      <c r="N44" s="38" t="n">
        <f aca="false">3*($C$6+$C$7)+$B$7*S43+$B$9*N43+$B$6*T48+$B$8*O48</f>
        <v>282.221154036934</v>
      </c>
      <c r="O44" s="38" t="n">
        <f aca="false">3*($C$6+$C$7)+$B$7*T43+$B$9*O43+$B$6*U48+$B$8*P48</f>
        <v>279.13852328566</v>
      </c>
      <c r="P44" s="38" t="n">
        <f aca="false">3*($C$6+$C$7)+$B$7*U43+$B$9*P43+$B$6*U43+$B$8*P43</f>
        <v>264.513109311754</v>
      </c>
      <c r="S44" s="38" t="n">
        <f aca="false">4*($C$6+$C$7)+$B$7*X43+$B$9*S43+$B$6*Y48+$B$8*T48</f>
        <v>290.545056949362</v>
      </c>
      <c r="T44" s="38" t="n">
        <f aca="false">4*($C$6+$C$7)+$B$7*Y43+$B$9*T43+$B$6*Z48+$B$8*U48</f>
        <v>287.462426192276</v>
      </c>
      <c r="U44" s="38" t="n">
        <f aca="false">4*($C$6+$C$7)+$B$7*Z43+$B$9*U43+$B$6*Z43+$B$8*U43</f>
        <v>272.837011699172</v>
      </c>
      <c r="X44" s="38" t="n">
        <f aca="false">5*($C$6+$C$7)+$B$7*X43+$B$9*X43+$B$6*Y48+$B$8*Y48</f>
        <v>294.707008917594</v>
      </c>
      <c r="Y44" s="38" t="n">
        <f aca="false">5*($C$6+$C$7)+$B$7*Y43+$B$9*Y43+$B$6*Z48+$B$8*Z48</f>
        <v>291.624378160322</v>
      </c>
      <c r="Z44" s="38" t="n">
        <f aca="false">5*($C$6+$C$7)+$B$7*Z43+$B$9*Z43+$B$6*Z43+$B$8*Z43</f>
        <v>276.998963647959</v>
      </c>
    </row>
    <row r="45" customFormat="false" ht="15" hidden="false" customHeight="false" outlineLevel="0" collapsed="false">
      <c r="A45" s="7" t="n">
        <v>29</v>
      </c>
      <c r="E45" s="38" t="n">
        <f aca="false">1*($C$6+$C$7)+$B$7*J44+$B$9*E44+$B$6*K49+$B$8*F49</f>
        <v>260.331171511612</v>
      </c>
      <c r="F45" s="38" t="n">
        <f aca="false">1*($C$6+$C$7)+$B$7*K44+$B$9*F44+$B$6*K44+$B$8*F44</f>
        <v>245.272385059502</v>
      </c>
      <c r="J45" s="38" t="n">
        <f aca="false">2*($C$6+$C$7)+$B$7*O44+$B$9*J44+$B$6*P49+$B$8*K49</f>
        <v>276.978905586152</v>
      </c>
      <c r="K45" s="38" t="n">
        <f aca="false">2*($C$6+$C$7)+$B$7*P44+$B$9*K44+$B$6*P44+$B$8*K44</f>
        <v>261.920084787169</v>
      </c>
      <c r="O45" s="38" t="n">
        <f aca="false">3*($C$6+$C$7)+$B$7*T44+$B$9*O44+$B$6*U49+$B$8*P49</f>
        <v>289.464753386569</v>
      </c>
      <c r="P45" s="38" t="n">
        <f aca="false">3*($C$6+$C$7)+$B$7*U44+$B$9*P44+$B$6*U44+$B$8*P44</f>
        <v>274.405928667532</v>
      </c>
      <c r="T45" s="38" t="n">
        <f aca="false">4*($C$6+$C$7)+$B$7*Y44+$B$9*T44+$B$6*Z49+$B$8*U49</f>
        <v>297.788656809819</v>
      </c>
      <c r="U45" s="38" t="n">
        <f aca="false">4*($C$6+$C$7)+$B$7*Z44+$B$9*U44+$B$6*Z44+$B$8*U44</f>
        <v>282.729831801162</v>
      </c>
      <c r="Y45" s="38" t="n">
        <f aca="false">5*($C$6+$C$7)+$B$7*Y44+$B$9*Y44+$B$6*Z49+$B$8*Z49</f>
        <v>301.950608797293</v>
      </c>
      <c r="Z45" s="38" t="n">
        <f aca="false">5*($C$6+$C$7)+$B$7*Z44+$B$9*Z44+$B$6*Z44+$B$8*Z44</f>
        <v>286.891783778243</v>
      </c>
    </row>
    <row r="46" customFormat="false" ht="15" hidden="false" customHeight="false" outlineLevel="0" collapsed="false">
      <c r="A46" s="7" t="n">
        <v>30</v>
      </c>
      <c r="E46" s="38" t="n">
        <f aca="false">1*($C$6+$C$7)+$B$7*J45+$B$9*E45+$B$6*K50+$B$8*F50</f>
        <v>270.651974533083</v>
      </c>
      <c r="F46" s="38" t="n">
        <f aca="false">1*($C$6+$C$7)+$B$7*K45+$B$9*F45+$B$6*K45+$B$8*F45</f>
        <v>255.165153702054</v>
      </c>
      <c r="J46" s="38" t="n">
        <f aca="false">2*($C$6+$C$7)+$B$7*O45+$B$9*J45+$B$6*P50+$B$8*K50</f>
        <v>287.299740406938</v>
      </c>
      <c r="K46" s="38" t="n">
        <f aca="false">2*($C$6+$C$7)+$B$7*P45+$B$9*K45+$B$6*P45+$B$8*K45</f>
        <v>271.812899144015</v>
      </c>
      <c r="O46" s="38" t="n">
        <f aca="false">3*($C$6+$C$7)+$B$7*T45+$B$9*O45+$B$6*U50+$B$8*P50</f>
        <v>299.785591895677</v>
      </c>
      <c r="P46" s="38" t="n">
        <f aca="false">3*($C$6+$C$7)+$B$7*U45+$B$9*P45+$B$6*U45+$B$8*P45</f>
        <v>284.298748378053</v>
      </c>
      <c r="T46" s="38" t="n">
        <f aca="false">4*($C$6+$C$7)+$B$7*Y45+$B$9*T45+$B$6*Z50+$B$8*U50</f>
        <v>308.109495595422</v>
      </c>
      <c r="U46" s="38" t="n">
        <f aca="false">4*($C$6+$C$7)+$B$7*Z45+$B$9*U45+$B$6*Z45+$B$8*U45</f>
        <v>292.622651916603</v>
      </c>
      <c r="Y46" s="38" t="n">
        <f aca="false">5*($C$6+$C$7)+$B$7*Y45+$B$9*Y45+$B$6*Z50+$B$8*Z50</f>
        <v>312.271447592949</v>
      </c>
      <c r="Z46" s="38" t="n">
        <f aca="false">5*($C$6+$C$7)+$B$7*Z45+$B$9*Z45+$B$6*Z45+$B$8*Z45</f>
        <v>296.784603908527</v>
      </c>
    </row>
    <row r="47" customFormat="false" ht="15" hidden="false" customHeight="false" outlineLevel="0" collapsed="false">
      <c r="A47" s="7" t="n">
        <v>31</v>
      </c>
      <c r="E47" s="38" t="n">
        <f aca="false">1*($C$6+$C$7)+$B$7*J46+$B$9*E46+$B$6*K51+$B$8*F51</f>
        <v>280.967468173941</v>
      </c>
      <c r="F47" s="38" t="n">
        <f aca="false">1*($C$6+$C$7)+$B$7*K46+$B$9*F46+$B$6*K46+$B$8*F46</f>
        <v>265.057944076875</v>
      </c>
      <c r="J47" s="38" t="n">
        <f aca="false">2*($C$6+$C$7)+$B$7*O46+$B$9*J46+$B$6*P51+$B$8*K51</f>
        <v>297.615252246282</v>
      </c>
      <c r="K47" s="38" t="n">
        <f aca="false">2*($C$6+$C$7)+$B$7*P46+$B$9*K46+$B$6*P46+$B$8*K46</f>
        <v>281.705716045962</v>
      </c>
      <c r="O47" s="38" t="n">
        <f aca="false">3*($C$6+$C$7)+$B$7*T46+$B$9*O46+$B$6*U51+$B$8*P51</f>
        <v>310.101105774178</v>
      </c>
      <c r="P47" s="38" t="n">
        <f aca="false">3*($C$6+$C$7)+$B$7*U46+$B$9*P46+$B$6*U46+$B$8*P46</f>
        <v>294.191568281071</v>
      </c>
      <c r="T47" s="38" t="n">
        <f aca="false">4*($C$6+$C$7)+$B$7*Y46+$B$9*T46+$B$6*Z51+$B$8*U51</f>
        <v>318.425009621736</v>
      </c>
      <c r="U47" s="38" t="n">
        <f aca="false">4*($C$6+$C$7)+$B$7*Z46+$B$9*U46+$B$6*Z46+$B$8*U46</f>
        <v>302.5154720391</v>
      </c>
      <c r="Y47" s="38" t="n">
        <f aca="false">5*($C$6+$C$7)+$B$7*Y46+$B$9*Y46+$B$6*Z51+$B$8*Z51</f>
        <v>322.586961624464</v>
      </c>
      <c r="Z47" s="38" t="n">
        <f aca="false">5*($C$6+$C$7)+$B$7*Z46+$B$9*Z46+$B$6*Z46+$B$8*Z46</f>
        <v>306.677424038812</v>
      </c>
    </row>
    <row r="48" customFormat="false" ht="15" hidden="false" customHeight="false" outlineLevel="0" collapsed="false">
      <c r="A48" s="7" t="n">
        <v>32</v>
      </c>
      <c r="E48" s="38" t="n">
        <f aca="false">1*($C$6+$C$7)+$B$7*J47+$B$9*E47+$B$6*K52+$B$8*F52</f>
        <v>291.277712096278</v>
      </c>
      <c r="F48" s="38" t="n">
        <f aca="false">1*($C$6+$C$7)+$B$7*K47+$B$9*F47+$B$6*K47+$B$8*F47</f>
        <v>274.950747062513</v>
      </c>
      <c r="J48" s="38" t="n">
        <f aca="false">2*($C$6+$C$7)+$B$7*O47+$B$9*J47+$B$6*P52+$B$8*K52</f>
        <v>307.925506549717</v>
      </c>
      <c r="K48" s="38" t="n">
        <f aca="false">2*($C$6+$C$7)+$B$7*P47+$B$9*K47+$B$6*P47+$B$8*K47</f>
        <v>291.598534374599</v>
      </c>
      <c r="O48" s="38" t="n">
        <f aca="false">3*($C$6+$C$7)+$B$7*T47+$B$9*O47+$B$6*U52+$B$8*P52</f>
        <v>320.411361202624</v>
      </c>
      <c r="P48" s="38" t="n">
        <f aca="false">3*($C$6+$C$7)+$B$7*U47+$B$9*P47+$B$6*U47+$B$8*P47</f>
        <v>304.084388288428</v>
      </c>
      <c r="T48" s="38" t="n">
        <f aca="false">4*($C$6+$C$7)+$B$7*Y47+$B$9*T47+$B$6*Z52+$B$8*U52</f>
        <v>328.735265129124</v>
      </c>
      <c r="U48" s="38" t="n">
        <f aca="false">4*($C$6+$C$7)+$B$7*Z47+$B$9*U47+$B$6*Z47+$B$8*U47</f>
        <v>312.408292165299</v>
      </c>
      <c r="Y48" s="38" t="n">
        <f aca="false">5*($C$6+$C$7)+$B$7*Y47+$B$9*Y47+$B$6*Z52+$B$8*Z52</f>
        <v>332.897217134543</v>
      </c>
      <c r="Z48" s="38" t="n">
        <f aca="false">5*($C$6+$C$7)+$B$7*Z47+$B$9*Z47+$B$6*Z47+$B$8*Z47</f>
        <v>316.570244169096</v>
      </c>
    </row>
    <row r="49" customFormat="false" ht="15" hidden="false" customHeight="false" outlineLevel="0" collapsed="false">
      <c r="A49" s="7" t="n">
        <v>33</v>
      </c>
      <c r="F49" s="38" t="n">
        <f aca="false">1*($C$6+$C$7)+$B$7*K48+$B$9*F48+$B$6*K48+$B$8*F48</f>
        <v>284.84355734211</v>
      </c>
      <c r="K49" s="38" t="n">
        <f aca="false">2*($C$6+$C$7)+$B$7*P48+$B$9*K48+$B$6*P48+$B$8*K48</f>
        <v>301.491353501287</v>
      </c>
      <c r="P49" s="38" t="n">
        <f aca="false">3*($C$6+$C$7)+$B$7*U48+$B$9*P48+$B$6*U48+$B$8*P48</f>
        <v>313.977208352281</v>
      </c>
      <c r="U49" s="38" t="n">
        <f aca="false">4*($C$6+$C$7)+$B$7*Z48+$B$9*U48+$B$6*Z48+$B$8*U48</f>
        <v>322.30111229344</v>
      </c>
      <c r="Z49" s="38" t="n">
        <f aca="false">5*($C$6+$C$7)+$B$7*Z48+$B$9*Z48+$B$6*Z48+$B$8*Z48</f>
        <v>326.46306429938</v>
      </c>
    </row>
    <row r="50" customFormat="false" ht="15" hidden="false" customHeight="false" outlineLevel="0" collapsed="false">
      <c r="A50" s="7" t="n">
        <v>34</v>
      </c>
      <c r="F50" s="38" t="n">
        <f aca="false">1*($C$6+$C$7)+$B$7*K49+$B$9*F49+$B$6*K49+$B$8*F49</f>
        <v>294.736371827554</v>
      </c>
      <c r="K50" s="38" t="n">
        <f aca="false">2*($C$6+$C$7)+$B$7*P49+$B$9*K49+$B$6*P49+$B$8*K49</f>
        <v>311.384173073498</v>
      </c>
      <c r="P50" s="38" t="n">
        <f aca="false">3*($C$6+$C$7)+$B$7*U49+$B$9*P49+$B$6*U49+$B$8*P49</f>
        <v>323.870028446697</v>
      </c>
      <c r="U50" s="38" t="n">
        <f aca="false">4*($C$6+$C$7)+$B$7*Z49+$B$9*U49+$B$6*Z49+$B$8*U49</f>
        <v>332.1939324226</v>
      </c>
      <c r="Z50" s="38" t="n">
        <f aca="false">5*($C$6+$C$7)+$B$7*Z49+$B$9*Z49+$B$6*Z49+$B$8*Z49</f>
        <v>336.355884429664</v>
      </c>
    </row>
    <row r="51" customFormat="false" ht="15" hidden="false" customHeight="false" outlineLevel="0" collapsed="false">
      <c r="A51" s="7" t="n">
        <v>35</v>
      </c>
      <c r="F51" s="38" t="n">
        <f aca="false">1*($C$6+$C$7)+$B$7*K50+$B$9*F50+$B$6*K50+$B$8*F50</f>
        <v>304.629188731213</v>
      </c>
      <c r="K51" s="38" t="n">
        <f aca="false">2*($C$6+$C$7)+$B$7*P50+$B$9*K50+$B$6*P50+$B$8*K50</f>
        <v>321.276992893961</v>
      </c>
      <c r="P51" s="38" t="n">
        <f aca="false">3*($C$6+$C$7)+$B$7*U50+$B$9*P50+$B$6*U50+$B$8*P50</f>
        <v>333.76284855763</v>
      </c>
      <c r="U51" s="38" t="n">
        <f aca="false">4*($C$6+$C$7)+$B$7*Z50+$B$9*U50+$B$6*Z50+$B$8*U50</f>
        <v>342.086752552295</v>
      </c>
      <c r="Z51" s="38" t="n">
        <f aca="false">5*($C$6+$C$7)+$B$7*Z50+$B$9*Z50+$B$6*Z50+$B$8*Z50</f>
        <v>346.248704559949</v>
      </c>
    </row>
    <row r="52" customFormat="false" ht="15" hidden="false" customHeight="false" outlineLevel="0" collapsed="false">
      <c r="A52" s="7" t="n">
        <v>36</v>
      </c>
      <c r="F52" s="38" t="n">
        <f aca="false">1*($C$6+$C$7)+$B$7*K51+$B$9*F51+$B$6*K51+$B$8*F51</f>
        <v>314.522007021502</v>
      </c>
      <c r="K52" s="38" t="n">
        <f aca="false">2*($C$6+$C$7)+$B$7*P51+$B$9*K51+$B$6*P51+$B$8*K51</f>
        <v>331.169812852512</v>
      </c>
      <c r="P52" s="38" t="n">
        <f aca="false">3*($C$6+$C$7)+$B$7*U51+$B$9*P51+$B$6*U51+$B$8*P51</f>
        <v>343.655668677482</v>
      </c>
      <c r="U52" s="38" t="n">
        <f aca="false">4*($C$6+$C$7)+$B$7*Z51+$B$9*U51+$B$6*Z51+$B$8*U51</f>
        <v>351.97957268227</v>
      </c>
      <c r="Z52" s="38" t="n">
        <f aca="false">5*($C$6+$C$7)+$B$7*Z51+$B$9*Z51+$B$6*Z51+$B$8*Z51</f>
        <v>356.141524690233</v>
      </c>
    </row>
    <row r="55" customFormat="false" ht="15" hidden="false" customHeight="false" outlineLevel="0" collapsed="false">
      <c r="A55" s="7" t="s">
        <v>167</v>
      </c>
    </row>
    <row r="56" customFormat="false" ht="52.2" hidden="false" customHeight="false" outlineLevel="0" collapsed="false">
      <c r="A56" s="3" t="s">
        <v>70</v>
      </c>
      <c r="B56" s="3" t="s">
        <v>168</v>
      </c>
      <c r="C56" s="3" t="s">
        <v>169</v>
      </c>
      <c r="D56" s="3" t="s">
        <v>170</v>
      </c>
      <c r="E56" s="3" t="s">
        <v>171</v>
      </c>
    </row>
    <row r="57" customFormat="false" ht="15" hidden="false" customHeight="false" outlineLevel="0" collapsed="false">
      <c r="A57" s="7" t="n">
        <v>3</v>
      </c>
      <c r="B57" s="14" t="n">
        <f aca="false">Paytable!$C$19</f>
        <v>10</v>
      </c>
      <c r="C57" s="39" t="n">
        <f aca="false">INDEX($B$16:$B$52,B57+1)</f>
        <v>65.4049582515306</v>
      </c>
      <c r="D57" s="40" t="n">
        <f aca="false">Scatters!$H$11</f>
        <v>0.00510426392779334</v>
      </c>
      <c r="E57" s="30" t="n">
        <f aca="false">C57*D57</f>
        <v>0.333844169102117</v>
      </c>
    </row>
    <row r="58" customFormat="false" ht="15" hidden="false" customHeight="false" outlineLevel="0" collapsed="false">
      <c r="A58" s="7" t="n">
        <v>4</v>
      </c>
      <c r="B58" s="14" t="n">
        <f aca="false">Paytable!$C$20</f>
        <v>15</v>
      </c>
      <c r="C58" s="39" t="n">
        <f aca="false">INDEX($B$16:$B$52,B58+1)</f>
        <v>116.760557095298</v>
      </c>
      <c r="D58" s="40" t="n">
        <f aca="false">Scatters!$I$11</f>
        <v>0.000236344537815126</v>
      </c>
      <c r="E58" s="30" t="n">
        <f aca="false">C58*D58</f>
        <v>0.0275957199017249</v>
      </c>
    </row>
    <row r="59" customFormat="false" ht="15" hidden="false" customHeight="false" outlineLevel="0" collapsed="false">
      <c r="A59" s="7" t="n">
        <v>5</v>
      </c>
      <c r="B59" s="14" t="n">
        <f aca="false">Paytable!$C$21</f>
        <v>20</v>
      </c>
      <c r="C59" s="39" t="n">
        <f aca="false">INDEX($B$16:$B$52,B59+1)</f>
        <v>169.365266617046</v>
      </c>
      <c r="D59" s="40" t="n">
        <f aca="false">Scatters!$J$11</f>
        <v>4.37675070028011E-006</v>
      </c>
      <c r="E59" s="30" t="n">
        <f aca="false">C59*D59</f>
        <v>0.000741269549269286</v>
      </c>
    </row>
    <row r="60" customFormat="false" ht="15" hidden="false" customHeight="false" outlineLevel="0" collapsed="false">
      <c r="A60" s="7" t="s">
        <v>172</v>
      </c>
      <c r="E60" s="32" t="n">
        <f aca="false">SUM(E57:E59)</f>
        <v>0.362181158553111</v>
      </c>
    </row>
    <row r="61" customFormat="false" ht="15" hidden="false" customHeight="false" outlineLevel="0" collapsed="false">
      <c r="A61" s="2" t="s">
        <v>173</v>
      </c>
      <c r="B61" s="12" t="n">
        <v>65.4049582515306</v>
      </c>
      <c r="C61" s="12" t="n">
        <v>116.760557095298</v>
      </c>
      <c r="D61" s="12" t="n">
        <v>169.365266617047</v>
      </c>
      <c r="E61" s="5" t="n">
        <v>0.362181158553111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" t="s">
        <v>48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H4" s="3" t="s">
        <v>48</v>
      </c>
      <c r="I4" s="3" t="s">
        <v>176</v>
      </c>
      <c r="J4" s="3" t="s">
        <v>177</v>
      </c>
      <c r="K4" s="3" t="s">
        <v>178</v>
      </c>
      <c r="L4" s="3" t="s">
        <v>179</v>
      </c>
      <c r="M4" s="3" t="s">
        <v>180</v>
      </c>
    </row>
    <row r="5" customFormat="false" ht="15" hidden="false" customHeight="false" outlineLevel="0" collapsed="false">
      <c r="A5" s="7" t="s">
        <v>53</v>
      </c>
      <c r="B5" s="20" t="n">
        <v>0</v>
      </c>
      <c r="C5" s="20" t="n">
        <v>2</v>
      </c>
      <c r="D5" s="20" t="n">
        <v>2</v>
      </c>
      <c r="E5" s="20" t="n">
        <v>2</v>
      </c>
      <c r="F5" s="20" t="n">
        <v>0</v>
      </c>
      <c r="H5" s="7" t="s">
        <v>53</v>
      </c>
      <c r="I5" s="22" t="n">
        <f aca="false">B5/B$15</f>
        <v>0</v>
      </c>
      <c r="J5" s="22" t="n">
        <f aca="false">C5/C$15</f>
        <v>0.0555555555555556</v>
      </c>
      <c r="K5" s="22" t="n">
        <f aca="false">D5/D$15</f>
        <v>0.0555555555555556</v>
      </c>
      <c r="L5" s="22" t="n">
        <f aca="false">E5/E$15</f>
        <v>0.0571428571428571</v>
      </c>
      <c r="M5" s="22" t="n">
        <f aca="false">F5/F$15</f>
        <v>0</v>
      </c>
    </row>
    <row r="6" customFormat="false" ht="15" hidden="false" customHeight="false" outlineLevel="0" collapsed="false">
      <c r="A6" s="7" t="s">
        <v>55</v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H6" s="7" t="s">
        <v>55</v>
      </c>
      <c r="I6" s="22" t="n">
        <f aca="false">B6/B$15</f>
        <v>0.0277777777777778</v>
      </c>
      <c r="J6" s="22" t="n">
        <f aca="false">C6/C$15</f>
        <v>0.0277777777777778</v>
      </c>
      <c r="K6" s="22" t="n">
        <f aca="false">D6/D$15</f>
        <v>0.0277777777777778</v>
      </c>
      <c r="L6" s="22" t="n">
        <f aca="false">E6/E$15</f>
        <v>0.0285714285714286</v>
      </c>
      <c r="M6" s="22" t="n">
        <f aca="false">F6/F$15</f>
        <v>0.0294117647058824</v>
      </c>
    </row>
    <row r="7" customFormat="false" ht="15" hidden="false" customHeight="false" outlineLevel="0" collapsed="false">
      <c r="A7" s="7" t="s">
        <v>57</v>
      </c>
      <c r="B7" s="20" t="n">
        <v>3</v>
      </c>
      <c r="C7" s="20" t="n">
        <v>4</v>
      </c>
      <c r="D7" s="20" t="n">
        <v>4</v>
      </c>
      <c r="E7" s="20" t="n">
        <v>4</v>
      </c>
      <c r="F7" s="20" t="n">
        <v>3</v>
      </c>
      <c r="H7" s="7" t="s">
        <v>57</v>
      </c>
      <c r="I7" s="22" t="n">
        <f aca="false">B7/B$15</f>
        <v>0.0833333333333333</v>
      </c>
      <c r="J7" s="22" t="n">
        <f aca="false">C7/C$15</f>
        <v>0.111111111111111</v>
      </c>
      <c r="K7" s="22" t="n">
        <f aca="false">D7/D$15</f>
        <v>0.111111111111111</v>
      </c>
      <c r="L7" s="22" t="n">
        <f aca="false">E7/E$15</f>
        <v>0.114285714285714</v>
      </c>
      <c r="M7" s="22" t="n">
        <f aca="false">F7/F$15</f>
        <v>0.0882352941176471</v>
      </c>
    </row>
    <row r="8" customFormat="false" ht="15" hidden="false" customHeight="false" outlineLevel="0" collapsed="false">
      <c r="A8" s="7" t="s">
        <v>59</v>
      </c>
      <c r="B8" s="20" t="n">
        <v>4</v>
      </c>
      <c r="C8" s="20" t="n">
        <v>4</v>
      </c>
      <c r="D8" s="20" t="n">
        <v>3</v>
      </c>
      <c r="E8" s="20" t="n">
        <v>2</v>
      </c>
      <c r="F8" s="20" t="n">
        <v>5</v>
      </c>
      <c r="H8" s="7" t="s">
        <v>59</v>
      </c>
      <c r="I8" s="22" t="n">
        <f aca="false">B8/B$15</f>
        <v>0.111111111111111</v>
      </c>
      <c r="J8" s="22" t="n">
        <f aca="false">C8/C$15</f>
        <v>0.111111111111111</v>
      </c>
      <c r="K8" s="22" t="n">
        <f aca="false">D8/D$15</f>
        <v>0.0833333333333333</v>
      </c>
      <c r="L8" s="22" t="n">
        <f aca="false">E8/E$15</f>
        <v>0.0571428571428571</v>
      </c>
      <c r="M8" s="22" t="n">
        <f aca="false">F8/F$15</f>
        <v>0.147058823529412</v>
      </c>
    </row>
    <row r="9" customFormat="false" ht="15" hidden="false" customHeight="false" outlineLevel="0" collapsed="false">
      <c r="A9" s="7" t="s">
        <v>61</v>
      </c>
      <c r="B9" s="20" t="n">
        <v>4</v>
      </c>
      <c r="C9" s="20" t="n">
        <v>3</v>
      </c>
      <c r="D9" s="20" t="n">
        <v>3</v>
      </c>
      <c r="E9" s="20" t="n">
        <v>2</v>
      </c>
      <c r="F9" s="20" t="n">
        <v>4</v>
      </c>
      <c r="H9" s="7" t="s">
        <v>61</v>
      </c>
      <c r="I9" s="22" t="n">
        <f aca="false">B9/B$15</f>
        <v>0.111111111111111</v>
      </c>
      <c r="J9" s="22" t="n">
        <f aca="false">C9/C$15</f>
        <v>0.0833333333333333</v>
      </c>
      <c r="K9" s="22" t="n">
        <f aca="false">D9/D$15</f>
        <v>0.0833333333333333</v>
      </c>
      <c r="L9" s="22" t="n">
        <f aca="false">E9/E$15</f>
        <v>0.0571428571428571</v>
      </c>
      <c r="M9" s="22" t="n">
        <f aca="false">F9/F$15</f>
        <v>0.117647058823529</v>
      </c>
    </row>
    <row r="10" customFormat="false" ht="15" hidden="false" customHeight="false" outlineLevel="0" collapsed="false">
      <c r="A10" s="7" t="s">
        <v>63</v>
      </c>
      <c r="B10" s="20" t="n">
        <v>4</v>
      </c>
      <c r="C10" s="20" t="n">
        <v>2</v>
      </c>
      <c r="D10" s="20" t="n">
        <v>3</v>
      </c>
      <c r="E10" s="20" t="n">
        <v>5</v>
      </c>
      <c r="F10" s="20" t="n">
        <v>4</v>
      </c>
      <c r="H10" s="7" t="s">
        <v>63</v>
      </c>
      <c r="I10" s="22" t="n">
        <f aca="false">B10/B$15</f>
        <v>0.111111111111111</v>
      </c>
      <c r="J10" s="22" t="n">
        <f aca="false">C10/C$15</f>
        <v>0.0555555555555556</v>
      </c>
      <c r="K10" s="22" t="n">
        <f aca="false">D10/D$15</f>
        <v>0.0833333333333333</v>
      </c>
      <c r="L10" s="22" t="n">
        <f aca="false">E10/E$15</f>
        <v>0.142857142857143</v>
      </c>
      <c r="M10" s="22" t="n">
        <f aca="false">F10/F$15</f>
        <v>0.117647058823529</v>
      </c>
    </row>
    <row r="11" customFormat="false" ht="15" hidden="false" customHeight="false" outlineLevel="0" collapsed="false">
      <c r="A11" s="7" t="s">
        <v>65</v>
      </c>
      <c r="B11" s="20" t="n">
        <v>5</v>
      </c>
      <c r="C11" s="20" t="n">
        <v>5</v>
      </c>
      <c r="D11" s="20" t="n">
        <v>5</v>
      </c>
      <c r="E11" s="20" t="n">
        <v>7</v>
      </c>
      <c r="F11" s="20" t="n">
        <v>6</v>
      </c>
      <c r="H11" s="7" t="s">
        <v>65</v>
      </c>
      <c r="I11" s="22" t="n">
        <f aca="false">B11/B$15</f>
        <v>0.138888888888889</v>
      </c>
      <c r="J11" s="22" t="n">
        <f aca="false">C11/C$15</f>
        <v>0.138888888888889</v>
      </c>
      <c r="K11" s="22" t="n">
        <f aca="false">D11/D$15</f>
        <v>0.138888888888889</v>
      </c>
      <c r="L11" s="22" t="n">
        <f aca="false">E11/E$15</f>
        <v>0.2</v>
      </c>
      <c r="M11" s="22" t="n">
        <f aca="false">F11/F$15</f>
        <v>0.176470588235294</v>
      </c>
    </row>
    <row r="12" customFormat="false" ht="15" hidden="false" customHeight="false" outlineLevel="0" collapsed="false">
      <c r="A12" s="7" t="s">
        <v>66</v>
      </c>
      <c r="B12" s="20" t="n">
        <v>5</v>
      </c>
      <c r="C12" s="20" t="n">
        <v>5</v>
      </c>
      <c r="D12" s="20" t="n">
        <v>5</v>
      </c>
      <c r="E12" s="20" t="n">
        <v>3</v>
      </c>
      <c r="F12" s="20" t="n">
        <v>4</v>
      </c>
      <c r="H12" s="7" t="s">
        <v>66</v>
      </c>
      <c r="I12" s="22" t="n">
        <f aca="false">B12/B$15</f>
        <v>0.138888888888889</v>
      </c>
      <c r="J12" s="22" t="n">
        <f aca="false">C12/C$15</f>
        <v>0.138888888888889</v>
      </c>
      <c r="K12" s="22" t="n">
        <f aca="false">D12/D$15</f>
        <v>0.138888888888889</v>
      </c>
      <c r="L12" s="22" t="n">
        <f aca="false">E12/E$15</f>
        <v>0.0857142857142857</v>
      </c>
      <c r="M12" s="22" t="n">
        <f aca="false">F12/F$15</f>
        <v>0.117647058823529</v>
      </c>
    </row>
    <row r="13" customFormat="false" ht="15" hidden="false" customHeight="false" outlineLevel="0" collapsed="false">
      <c r="A13" s="7" t="s">
        <v>67</v>
      </c>
      <c r="B13" s="20" t="n">
        <v>5</v>
      </c>
      <c r="C13" s="20" t="n">
        <v>5</v>
      </c>
      <c r="D13" s="20" t="n">
        <v>5</v>
      </c>
      <c r="E13" s="20" t="n">
        <v>5</v>
      </c>
      <c r="F13" s="20" t="n">
        <v>4</v>
      </c>
      <c r="H13" s="7" t="s">
        <v>67</v>
      </c>
      <c r="I13" s="22" t="n">
        <f aca="false">B13/B$15</f>
        <v>0.138888888888889</v>
      </c>
      <c r="J13" s="22" t="n">
        <f aca="false">C13/C$15</f>
        <v>0.138888888888889</v>
      </c>
      <c r="K13" s="22" t="n">
        <f aca="false">D13/D$15</f>
        <v>0.138888888888889</v>
      </c>
      <c r="L13" s="22" t="n">
        <f aca="false">E13/E$15</f>
        <v>0.142857142857143</v>
      </c>
      <c r="M13" s="22" t="n">
        <f aca="false">F13/F$15</f>
        <v>0.117647058823529</v>
      </c>
    </row>
    <row r="14" customFormat="false" ht="15" hidden="false" customHeight="false" outlineLevel="0" collapsed="false">
      <c r="A14" s="7" t="s">
        <v>68</v>
      </c>
      <c r="B14" s="20" t="n">
        <v>5</v>
      </c>
      <c r="C14" s="20" t="n">
        <v>5</v>
      </c>
      <c r="D14" s="20" t="n">
        <v>5</v>
      </c>
      <c r="E14" s="20" t="n">
        <v>4</v>
      </c>
      <c r="F14" s="20" t="n">
        <v>3</v>
      </c>
      <c r="H14" s="7" t="s">
        <v>68</v>
      </c>
      <c r="I14" s="22" t="n">
        <f aca="false">B14/B$15</f>
        <v>0.138888888888889</v>
      </c>
      <c r="J14" s="22" t="n">
        <f aca="false">C14/C$15</f>
        <v>0.138888888888889</v>
      </c>
      <c r="K14" s="22" t="n">
        <f aca="false">D14/D$15</f>
        <v>0.138888888888889</v>
      </c>
      <c r="L14" s="22" t="n">
        <f aca="false">E14/E$15</f>
        <v>0.114285714285714</v>
      </c>
      <c r="M14" s="22" t="n">
        <f aca="false">F14/F$15</f>
        <v>0.0882352941176471</v>
      </c>
    </row>
    <row r="15" customFormat="false" ht="15" hidden="false" customHeight="false" outlineLevel="0" collapsed="false">
      <c r="A15" s="7" t="s">
        <v>94</v>
      </c>
      <c r="B15" s="7" t="n">
        <f aca="false">SUM(B5:B14)</f>
        <v>36</v>
      </c>
      <c r="C15" s="7" t="n">
        <f aca="false">SUM(C5:C14)</f>
        <v>36</v>
      </c>
      <c r="D15" s="7" t="n">
        <f aca="false">SUM(D5:D14)</f>
        <v>36</v>
      </c>
      <c r="E15" s="7" t="n">
        <f aca="false">SUM(E5:E14)</f>
        <v>35</v>
      </c>
      <c r="F15" s="7" t="n">
        <f aca="false">SUM(F5:F14)</f>
        <v>34</v>
      </c>
    </row>
    <row r="18" customFormat="false" ht="15" hidden="false" customHeight="false" outlineLevel="0" collapsed="false">
      <c r="A18" s="7" t="s">
        <v>181</v>
      </c>
    </row>
    <row r="19" customFormat="false" ht="15" hidden="false" customHeight="false" outlineLevel="0" collapsed="false">
      <c r="A19" s="2" t="s">
        <v>99</v>
      </c>
    </row>
    <row r="20" customFormat="false" ht="26.85" hidden="false" customHeight="false" outlineLevel="0" collapsed="false">
      <c r="A20" s="3" t="s">
        <v>48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105</v>
      </c>
      <c r="H20" s="3" t="s">
        <v>106</v>
      </c>
      <c r="I20" s="3" t="s">
        <v>107</v>
      </c>
      <c r="J20" s="3" t="s">
        <v>108</v>
      </c>
      <c r="K20" s="3" t="s">
        <v>109</v>
      </c>
      <c r="L20" s="3" t="s">
        <v>110</v>
      </c>
      <c r="M20" s="3" t="s">
        <v>111</v>
      </c>
      <c r="N20" s="3" t="s">
        <v>112</v>
      </c>
      <c r="O20" s="3" t="s">
        <v>113</v>
      </c>
      <c r="P20" s="3" t="s">
        <v>114</v>
      </c>
      <c r="Q20" s="3" t="s">
        <v>115</v>
      </c>
      <c r="R20" s="3" t="s">
        <v>116</v>
      </c>
      <c r="S20" s="3" t="s">
        <v>117</v>
      </c>
      <c r="T20" s="3" t="s">
        <v>118</v>
      </c>
      <c r="U20" s="3" t="s">
        <v>119</v>
      </c>
      <c r="V20" s="3" t="s">
        <v>120</v>
      </c>
      <c r="W20" s="3" t="s">
        <v>121</v>
      </c>
    </row>
    <row r="21" customFormat="false" ht="15" hidden="false" customHeight="false" outlineLevel="0" collapsed="false">
      <c r="A21" s="7" t="s">
        <v>57</v>
      </c>
      <c r="B21" s="24" t="n">
        <f aca="false">Scenario!$I$7</f>
        <v>0.0833333333333333</v>
      </c>
      <c r="C21" s="24" t="n">
        <f aca="false">Scenario!$J$7</f>
        <v>0.111111111111111</v>
      </c>
      <c r="D21" s="24" t="n">
        <f aca="false">Scenario!$K$7</f>
        <v>0.111111111111111</v>
      </c>
      <c r="E21" s="24" t="n">
        <f aca="false">Scenario!$L$7</f>
        <v>0.114285714285714</v>
      </c>
      <c r="F21" s="24" t="n">
        <f aca="false">Scenario!$M$7</f>
        <v>0.0882352941176471</v>
      </c>
      <c r="G21" s="24" t="n">
        <f aca="false">Scenario!$J$5</f>
        <v>0.0555555555555556</v>
      </c>
      <c r="H21" s="24" t="n">
        <f aca="false">Scenario!$K$5</f>
        <v>0.0555555555555556</v>
      </c>
      <c r="I21" s="24" t="n">
        <f aca="false">Scenario!$L$5</f>
        <v>0.0571428571428571</v>
      </c>
      <c r="J21" s="24" t="n">
        <f aca="false">Scenario!$M$5</f>
        <v>0</v>
      </c>
      <c r="K21" s="13" t="n">
        <f aca="false">B21</f>
        <v>0.0833333333333333</v>
      </c>
      <c r="L21" s="13" t="n">
        <f aca="false">K21*(C21+G21)</f>
        <v>0.0138888888888889</v>
      </c>
      <c r="M21" s="13" t="n">
        <f aca="false">L21*(D21+H21)</f>
        <v>0.00231481481481481</v>
      </c>
      <c r="N21" s="13" t="n">
        <f aca="false">M21*(E21+I21)</f>
        <v>0.000396825396825397</v>
      </c>
      <c r="O21" s="13" t="n">
        <f aca="false">N21*(F21+J21)</f>
        <v>3.50140056022409E-005</v>
      </c>
      <c r="P21" s="13" t="n">
        <f aca="false">M21-N21</f>
        <v>0.00191798941798942</v>
      </c>
      <c r="Q21" s="13" t="n">
        <f aca="false">N21-O21</f>
        <v>0.000361811391223156</v>
      </c>
      <c r="R21" s="13" t="n">
        <f aca="false">O21</f>
        <v>3.50140056022409E-005</v>
      </c>
      <c r="S21" s="25" t="n">
        <f aca="false">Paytable!$C$7</f>
        <v>2</v>
      </c>
      <c r="T21" s="25" t="n">
        <f aca="false">Paytable!$D$7</f>
        <v>8</v>
      </c>
      <c r="U21" s="25" t="n">
        <f aca="false">Paytable!$E$7</f>
        <v>40</v>
      </c>
      <c r="V21" s="13" t="n">
        <f aca="false">SUMPRODUCT(P21:R21,S21:U21)</f>
        <v>0.00813103018985372</v>
      </c>
      <c r="W21" s="13" t="n">
        <f aca="false">SUMPRODUCT(P21:R21,--(S21:U21&gt;0))</f>
        <v>0.00231481481481481</v>
      </c>
    </row>
    <row r="22" customFormat="false" ht="15" hidden="false" customHeight="false" outlineLevel="0" collapsed="false">
      <c r="A22" s="7" t="s">
        <v>59</v>
      </c>
      <c r="B22" s="24" t="n">
        <f aca="false">Scenario!$I$8</f>
        <v>0.111111111111111</v>
      </c>
      <c r="C22" s="24" t="n">
        <f aca="false">Scenario!$J$8</f>
        <v>0.111111111111111</v>
      </c>
      <c r="D22" s="24" t="n">
        <f aca="false">Scenario!$K$8</f>
        <v>0.0833333333333333</v>
      </c>
      <c r="E22" s="24" t="n">
        <f aca="false">Scenario!$L$8</f>
        <v>0.0571428571428571</v>
      </c>
      <c r="F22" s="24" t="n">
        <f aca="false">Scenario!$M$8</f>
        <v>0.147058823529412</v>
      </c>
      <c r="G22" s="24" t="n">
        <f aca="false">Scenario!$J$5</f>
        <v>0.0555555555555556</v>
      </c>
      <c r="H22" s="24" t="n">
        <f aca="false">Scenario!$K$5</f>
        <v>0.0555555555555556</v>
      </c>
      <c r="I22" s="24" t="n">
        <f aca="false">Scenario!$L$5</f>
        <v>0.0571428571428571</v>
      </c>
      <c r="J22" s="24" t="n">
        <f aca="false">Scenario!$M$5</f>
        <v>0</v>
      </c>
      <c r="K22" s="13" t="n">
        <f aca="false">B22</f>
        <v>0.111111111111111</v>
      </c>
      <c r="L22" s="13" t="n">
        <f aca="false">K22*(C22+G22)</f>
        <v>0.0185185185185185</v>
      </c>
      <c r="M22" s="13" t="n">
        <f aca="false">L22*(D22+H22)</f>
        <v>0.00257201646090535</v>
      </c>
      <c r="N22" s="13" t="n">
        <f aca="false">M22*(E22+I22)</f>
        <v>0.000293944738389183</v>
      </c>
      <c r="O22" s="13" t="n">
        <f aca="false">N22*(F22+J22)</f>
        <v>4.3227167410174E-005</v>
      </c>
      <c r="P22" s="13" t="n">
        <f aca="false">M22-N22</f>
        <v>0.00227807172251617</v>
      </c>
      <c r="Q22" s="13" t="n">
        <f aca="false">N22-O22</f>
        <v>0.000250717570979009</v>
      </c>
      <c r="R22" s="13" t="n">
        <f aca="false">O22</f>
        <v>4.3227167410174E-005</v>
      </c>
      <c r="S22" s="25" t="n">
        <f aca="false">Paytable!$C$8</f>
        <v>1.5</v>
      </c>
      <c r="T22" s="25" t="n">
        <f aca="false">Paytable!$D$8</f>
        <v>5</v>
      </c>
      <c r="U22" s="25" t="n">
        <f aca="false">Paytable!$E$8</f>
        <v>25</v>
      </c>
      <c r="V22" s="13" t="n">
        <f aca="false">SUMPRODUCT(P22:R22,S22:U22)</f>
        <v>0.00575137462392364</v>
      </c>
      <c r="W22" s="13" t="n">
        <f aca="false">SUMPRODUCT(P22:R22,--(S22:U22&gt;0))</f>
        <v>0.00257201646090535</v>
      </c>
    </row>
    <row r="23" customFormat="false" ht="15" hidden="false" customHeight="false" outlineLevel="0" collapsed="false">
      <c r="A23" s="7" t="s">
        <v>61</v>
      </c>
      <c r="B23" s="24" t="n">
        <f aca="false">Scenario!$I$9</f>
        <v>0.111111111111111</v>
      </c>
      <c r="C23" s="24" t="n">
        <f aca="false">Scenario!$J$9</f>
        <v>0.0833333333333333</v>
      </c>
      <c r="D23" s="24" t="n">
        <f aca="false">Scenario!$K$9</f>
        <v>0.0833333333333333</v>
      </c>
      <c r="E23" s="24" t="n">
        <f aca="false">Scenario!$L$9</f>
        <v>0.0571428571428571</v>
      </c>
      <c r="F23" s="24" t="n">
        <f aca="false">Scenario!$M$9</f>
        <v>0.117647058823529</v>
      </c>
      <c r="G23" s="24" t="n">
        <f aca="false">Scenario!$J$5</f>
        <v>0.0555555555555556</v>
      </c>
      <c r="H23" s="24" t="n">
        <f aca="false">Scenario!$K$5</f>
        <v>0.0555555555555556</v>
      </c>
      <c r="I23" s="24" t="n">
        <f aca="false">Scenario!$L$5</f>
        <v>0.0571428571428571</v>
      </c>
      <c r="J23" s="24" t="n">
        <f aca="false">Scenario!$M$5</f>
        <v>0</v>
      </c>
      <c r="K23" s="13" t="n">
        <f aca="false">B23</f>
        <v>0.111111111111111</v>
      </c>
      <c r="L23" s="13" t="n">
        <f aca="false">K23*(C23+G23)</f>
        <v>0.0154320987654321</v>
      </c>
      <c r="M23" s="13" t="n">
        <f aca="false">L23*(D23+H23)</f>
        <v>0.00214334705075446</v>
      </c>
      <c r="N23" s="13" t="n">
        <f aca="false">M23*(E23+I23)</f>
        <v>0.000244953948657652</v>
      </c>
      <c r="O23" s="13" t="n">
        <f aca="false">N23*(F23+J23)</f>
        <v>2.88181116067826E-005</v>
      </c>
      <c r="P23" s="13" t="n">
        <f aca="false">M23-N23</f>
        <v>0.00189839310209681</v>
      </c>
      <c r="Q23" s="13" t="n">
        <f aca="false">N23-O23</f>
        <v>0.00021613583705087</v>
      </c>
      <c r="R23" s="13" t="n">
        <f aca="false">O23</f>
        <v>2.88181116067826E-005</v>
      </c>
      <c r="S23" s="25" t="n">
        <f aca="false">Paytable!$C$9</f>
        <v>1</v>
      </c>
      <c r="T23" s="25" t="n">
        <f aca="false">Paytable!$D$9</f>
        <v>3</v>
      </c>
      <c r="U23" s="25" t="n">
        <f aca="false">Paytable!$E$9</f>
        <v>15</v>
      </c>
      <c r="V23" s="13" t="n">
        <f aca="false">SUMPRODUCT(P23:R23,S23:U23)</f>
        <v>0.00297907228735115</v>
      </c>
      <c r="W23" s="13" t="n">
        <f aca="false">SUMPRODUCT(P23:R23,--(S23:U23&gt;0))</f>
        <v>0.00214334705075446</v>
      </c>
    </row>
    <row r="24" customFormat="false" ht="15" hidden="false" customHeight="false" outlineLevel="0" collapsed="false">
      <c r="A24" s="7" t="s">
        <v>63</v>
      </c>
      <c r="B24" s="24" t="n">
        <f aca="false">Scenario!$I$10</f>
        <v>0.111111111111111</v>
      </c>
      <c r="C24" s="24" t="n">
        <f aca="false">Scenario!$J$10</f>
        <v>0.0555555555555556</v>
      </c>
      <c r="D24" s="24" t="n">
        <f aca="false">Scenario!$K$10</f>
        <v>0.0833333333333333</v>
      </c>
      <c r="E24" s="24" t="n">
        <f aca="false">Scenario!$L$10</f>
        <v>0.142857142857143</v>
      </c>
      <c r="F24" s="24" t="n">
        <f aca="false">Scenario!$M$10</f>
        <v>0.117647058823529</v>
      </c>
      <c r="G24" s="24" t="n">
        <f aca="false">Scenario!$J$5</f>
        <v>0.0555555555555556</v>
      </c>
      <c r="H24" s="24" t="n">
        <f aca="false">Scenario!$K$5</f>
        <v>0.0555555555555556</v>
      </c>
      <c r="I24" s="24" t="n">
        <f aca="false">Scenario!$L$5</f>
        <v>0.0571428571428571</v>
      </c>
      <c r="J24" s="24" t="n">
        <f aca="false">Scenario!$M$5</f>
        <v>0</v>
      </c>
      <c r="K24" s="13" t="n">
        <f aca="false">B24</f>
        <v>0.111111111111111</v>
      </c>
      <c r="L24" s="13" t="n">
        <f aca="false">K24*(C24+G24)</f>
        <v>0.0123456790123457</v>
      </c>
      <c r="M24" s="13" t="n">
        <f aca="false">L24*(D24+H24)</f>
        <v>0.00171467764060357</v>
      </c>
      <c r="N24" s="13" t="n">
        <f aca="false">M24*(E24+I24)</f>
        <v>0.000342935528120713</v>
      </c>
      <c r="O24" s="13" t="n">
        <f aca="false">N24*(F24+J24)</f>
        <v>4.03453562494957E-005</v>
      </c>
      <c r="P24" s="13" t="n">
        <f aca="false">M24-N24</f>
        <v>0.00137174211248285</v>
      </c>
      <c r="Q24" s="13" t="n">
        <f aca="false">N24-O24</f>
        <v>0.000302590171871218</v>
      </c>
      <c r="R24" s="13" t="n">
        <f aca="false">O24</f>
        <v>4.03453562494957E-005</v>
      </c>
      <c r="S24" s="25" t="n">
        <f aca="false">Paytable!$C$10</f>
        <v>0.8</v>
      </c>
      <c r="T24" s="25" t="n">
        <f aca="false">Paytable!$D$10</f>
        <v>2</v>
      </c>
      <c r="U24" s="25" t="n">
        <f aca="false">Paytable!$E$10</f>
        <v>10</v>
      </c>
      <c r="V24" s="13" t="n">
        <f aca="false">SUMPRODUCT(P24:R24,S24:U24)</f>
        <v>0.00210602759622367</v>
      </c>
      <c r="W24" s="13" t="n">
        <f aca="false">SUMPRODUCT(P24:R24,--(S24:U24&gt;0))</f>
        <v>0.00171467764060357</v>
      </c>
    </row>
    <row r="25" customFormat="false" ht="15" hidden="false" customHeight="false" outlineLevel="0" collapsed="false">
      <c r="A25" s="7" t="s">
        <v>65</v>
      </c>
      <c r="B25" s="24" t="n">
        <f aca="false">Scenario!$I$11</f>
        <v>0.138888888888889</v>
      </c>
      <c r="C25" s="24" t="n">
        <f aca="false">Scenario!$J$11</f>
        <v>0.138888888888889</v>
      </c>
      <c r="D25" s="24" t="n">
        <f aca="false">Scenario!$K$11</f>
        <v>0.138888888888889</v>
      </c>
      <c r="E25" s="24" t="n">
        <f aca="false">Scenario!$L$11</f>
        <v>0.2</v>
      </c>
      <c r="F25" s="24" t="n">
        <f aca="false">Scenario!$M$11</f>
        <v>0.176470588235294</v>
      </c>
      <c r="G25" s="24" t="n">
        <f aca="false">Scenario!$J$5</f>
        <v>0.0555555555555556</v>
      </c>
      <c r="H25" s="24" t="n">
        <f aca="false">Scenario!$K$5</f>
        <v>0.0555555555555556</v>
      </c>
      <c r="I25" s="24" t="n">
        <f aca="false">Scenario!$L$5</f>
        <v>0.0571428571428571</v>
      </c>
      <c r="J25" s="24" t="n">
        <f aca="false">Scenario!$M$5</f>
        <v>0</v>
      </c>
      <c r="K25" s="13" t="n">
        <f aca="false">B25</f>
        <v>0.138888888888889</v>
      </c>
      <c r="L25" s="13" t="n">
        <f aca="false">K25*(C25+G25)</f>
        <v>0.0270061728395062</v>
      </c>
      <c r="M25" s="13" t="n">
        <f aca="false">L25*(D25+H25)</f>
        <v>0.00525120027434842</v>
      </c>
      <c r="N25" s="13" t="n">
        <f aca="false">M25*(E25+I25)</f>
        <v>0.00135030864197531</v>
      </c>
      <c r="O25" s="13" t="n">
        <f aca="false">N25*(F25+J25)</f>
        <v>0.000238289760348584</v>
      </c>
      <c r="P25" s="13" t="n">
        <f aca="false">M25-N25</f>
        <v>0.00390089163237311</v>
      </c>
      <c r="Q25" s="13" t="n">
        <f aca="false">N25-O25</f>
        <v>0.00111201888162673</v>
      </c>
      <c r="R25" s="13" t="n">
        <f aca="false">O25</f>
        <v>0.000238289760348584</v>
      </c>
      <c r="S25" s="25" t="n">
        <f aca="false">Paytable!$C$11</f>
        <v>0.4</v>
      </c>
      <c r="T25" s="25" t="n">
        <f aca="false">Paytable!$D$11</f>
        <v>1.2</v>
      </c>
      <c r="U25" s="25" t="n">
        <f aca="false">Paytable!$E$11</f>
        <v>5</v>
      </c>
      <c r="V25" s="13" t="n">
        <f aca="false">SUMPRODUCT(P25:R25,S25:U25)</f>
        <v>0.00408622811264424</v>
      </c>
      <c r="W25" s="13" t="n">
        <f aca="false">SUMPRODUCT(P25:R25,--(S25:U25&gt;0))</f>
        <v>0.00525120027434842</v>
      </c>
    </row>
    <row r="26" customFormat="false" ht="15" hidden="false" customHeight="false" outlineLevel="0" collapsed="false">
      <c r="A26" s="7" t="s">
        <v>66</v>
      </c>
      <c r="B26" s="24" t="n">
        <f aca="false">Scenario!$I$12</f>
        <v>0.138888888888889</v>
      </c>
      <c r="C26" s="24" t="n">
        <f aca="false">Scenario!$J$12</f>
        <v>0.138888888888889</v>
      </c>
      <c r="D26" s="24" t="n">
        <f aca="false">Scenario!$K$12</f>
        <v>0.138888888888889</v>
      </c>
      <c r="E26" s="24" t="n">
        <f aca="false">Scenario!$L$12</f>
        <v>0.0857142857142857</v>
      </c>
      <c r="F26" s="24" t="n">
        <f aca="false">Scenario!$M$12</f>
        <v>0.117647058823529</v>
      </c>
      <c r="G26" s="24" t="n">
        <f aca="false">Scenario!$J$5</f>
        <v>0.0555555555555556</v>
      </c>
      <c r="H26" s="24" t="n">
        <f aca="false">Scenario!$K$5</f>
        <v>0.0555555555555556</v>
      </c>
      <c r="I26" s="24" t="n">
        <f aca="false">Scenario!$L$5</f>
        <v>0.0571428571428571</v>
      </c>
      <c r="J26" s="24" t="n">
        <f aca="false">Scenario!$M$5</f>
        <v>0</v>
      </c>
      <c r="K26" s="13" t="n">
        <f aca="false">B26</f>
        <v>0.138888888888889</v>
      </c>
      <c r="L26" s="13" t="n">
        <f aca="false">K26*(C26+G26)</f>
        <v>0.0270061728395062</v>
      </c>
      <c r="M26" s="13" t="n">
        <f aca="false">L26*(D26+H26)</f>
        <v>0.00525120027434842</v>
      </c>
      <c r="N26" s="13" t="n">
        <f aca="false">M26*(E26+I26)</f>
        <v>0.00075017146776406</v>
      </c>
      <c r="O26" s="13" t="n">
        <f aca="false">N26*(F26+J26)</f>
        <v>8.82554667957718E-005</v>
      </c>
      <c r="P26" s="13" t="n">
        <f aca="false">M26-N26</f>
        <v>0.00450102880658436</v>
      </c>
      <c r="Q26" s="13" t="n">
        <f aca="false">N26-O26</f>
        <v>0.000661916000968289</v>
      </c>
      <c r="R26" s="13" t="n">
        <f aca="false">O26</f>
        <v>8.82554667957718E-005</v>
      </c>
      <c r="S26" s="25" t="n">
        <f aca="false">Paytable!$C$12</f>
        <v>0.3</v>
      </c>
      <c r="T26" s="25" t="n">
        <f aca="false">Paytable!$D$12</f>
        <v>1</v>
      </c>
      <c r="U26" s="25" t="n">
        <f aca="false">Paytable!$E$12</f>
        <v>4</v>
      </c>
      <c r="V26" s="13" t="n">
        <f aca="false">SUMPRODUCT(P26:R26,S26:U26)</f>
        <v>0.00236524651012668</v>
      </c>
      <c r="W26" s="13" t="n">
        <f aca="false">SUMPRODUCT(P26:R26,--(S26:U26&gt;0))</f>
        <v>0.00525120027434842</v>
      </c>
    </row>
    <row r="27" customFormat="false" ht="15" hidden="false" customHeight="false" outlineLevel="0" collapsed="false">
      <c r="A27" s="7" t="s">
        <v>67</v>
      </c>
      <c r="B27" s="24" t="n">
        <f aca="false">Scenario!$I$13</f>
        <v>0.138888888888889</v>
      </c>
      <c r="C27" s="24" t="n">
        <f aca="false">Scenario!$J$13</f>
        <v>0.138888888888889</v>
      </c>
      <c r="D27" s="24" t="n">
        <f aca="false">Scenario!$K$13</f>
        <v>0.138888888888889</v>
      </c>
      <c r="E27" s="24" t="n">
        <f aca="false">Scenario!$L$13</f>
        <v>0.142857142857143</v>
      </c>
      <c r="F27" s="24" t="n">
        <f aca="false">Scenario!$M$13</f>
        <v>0.117647058823529</v>
      </c>
      <c r="G27" s="24" t="n">
        <f aca="false">Scenario!$J$5</f>
        <v>0.0555555555555556</v>
      </c>
      <c r="H27" s="24" t="n">
        <f aca="false">Scenario!$K$5</f>
        <v>0.0555555555555556</v>
      </c>
      <c r="I27" s="24" t="n">
        <f aca="false">Scenario!$L$5</f>
        <v>0.0571428571428571</v>
      </c>
      <c r="J27" s="24" t="n">
        <f aca="false">Scenario!$M$5</f>
        <v>0</v>
      </c>
      <c r="K27" s="13" t="n">
        <f aca="false">B27</f>
        <v>0.138888888888889</v>
      </c>
      <c r="L27" s="13" t="n">
        <f aca="false">K27*(C27+G27)</f>
        <v>0.0270061728395062</v>
      </c>
      <c r="M27" s="13" t="n">
        <f aca="false">L27*(D27+H27)</f>
        <v>0.00525120027434842</v>
      </c>
      <c r="N27" s="13" t="n">
        <f aca="false">M27*(E27+I27)</f>
        <v>0.00105024005486968</v>
      </c>
      <c r="O27" s="13" t="n">
        <f aca="false">N27*(F27+J27)</f>
        <v>0.000123557653514081</v>
      </c>
      <c r="P27" s="13" t="n">
        <f aca="false">M27-N27</f>
        <v>0.00420096021947874</v>
      </c>
      <c r="Q27" s="13" t="n">
        <f aca="false">N27-O27</f>
        <v>0.000926682401355604</v>
      </c>
      <c r="R27" s="13" t="n">
        <f aca="false">O27</f>
        <v>0.000123557653514081</v>
      </c>
      <c r="S27" s="25" t="n">
        <f aca="false">Paytable!$C$13</f>
        <v>0.3</v>
      </c>
      <c r="T27" s="25" t="n">
        <f aca="false">Paytable!$D$13</f>
        <v>0.8</v>
      </c>
      <c r="U27" s="25" t="n">
        <f aca="false">Paytable!$E$13</f>
        <v>3</v>
      </c>
      <c r="V27" s="13" t="n">
        <f aca="false">SUMPRODUCT(P27:R27,S27:U27)</f>
        <v>0.00237230694747035</v>
      </c>
      <c r="W27" s="13" t="n">
        <f aca="false">SUMPRODUCT(P27:R27,--(S27:U27&gt;0))</f>
        <v>0.00525120027434842</v>
      </c>
    </row>
    <row r="28" customFormat="false" ht="15" hidden="false" customHeight="false" outlineLevel="0" collapsed="false">
      <c r="A28" s="7" t="s">
        <v>68</v>
      </c>
      <c r="B28" s="24" t="n">
        <f aca="false">Scenario!$I$14</f>
        <v>0.138888888888889</v>
      </c>
      <c r="C28" s="24" t="n">
        <f aca="false">Scenario!$J$14</f>
        <v>0.138888888888889</v>
      </c>
      <c r="D28" s="24" t="n">
        <f aca="false">Scenario!$K$14</f>
        <v>0.138888888888889</v>
      </c>
      <c r="E28" s="24" t="n">
        <f aca="false">Scenario!$L$14</f>
        <v>0.114285714285714</v>
      </c>
      <c r="F28" s="24" t="n">
        <f aca="false">Scenario!$M$14</f>
        <v>0.0882352941176471</v>
      </c>
      <c r="G28" s="24" t="n">
        <f aca="false">Scenario!$J$5</f>
        <v>0.0555555555555556</v>
      </c>
      <c r="H28" s="24" t="n">
        <f aca="false">Scenario!$K$5</f>
        <v>0.0555555555555556</v>
      </c>
      <c r="I28" s="24" t="n">
        <f aca="false">Scenario!$L$5</f>
        <v>0.0571428571428571</v>
      </c>
      <c r="J28" s="24" t="n">
        <f aca="false">Scenario!$M$5</f>
        <v>0</v>
      </c>
      <c r="K28" s="13" t="n">
        <f aca="false">B28</f>
        <v>0.138888888888889</v>
      </c>
      <c r="L28" s="13" t="n">
        <f aca="false">K28*(C28+G28)</f>
        <v>0.0270061728395062</v>
      </c>
      <c r="M28" s="13" t="n">
        <f aca="false">L28*(D28+H28)</f>
        <v>0.00525120027434842</v>
      </c>
      <c r="N28" s="13" t="n">
        <f aca="false">M28*(E28+I28)</f>
        <v>0.000900205761316873</v>
      </c>
      <c r="O28" s="13" t="n">
        <f aca="false">N28*(F28+J28)</f>
        <v>7.94299201161946E-005</v>
      </c>
      <c r="P28" s="13" t="n">
        <f aca="false">M28-N28</f>
        <v>0.00435099451303155</v>
      </c>
      <c r="Q28" s="13" t="n">
        <f aca="false">N28-O28</f>
        <v>0.000820775841200678</v>
      </c>
      <c r="R28" s="13" t="n">
        <f aca="false">O28</f>
        <v>7.94299201161946E-005</v>
      </c>
      <c r="S28" s="25" t="n">
        <f aca="false">Paytable!$C$14</f>
        <v>0.2</v>
      </c>
      <c r="T28" s="25" t="n">
        <f aca="false">Paytable!$D$14</f>
        <v>0.6</v>
      </c>
      <c r="U28" s="25" t="n">
        <f aca="false">Paytable!$E$14</f>
        <v>2.5</v>
      </c>
      <c r="V28" s="13" t="n">
        <f aca="false">SUMPRODUCT(P28:R28,S28:U28)</f>
        <v>0.0015612392076172</v>
      </c>
      <c r="W28" s="13" t="n">
        <f aca="false">SUMPRODUCT(P28:R28,--(S28:U28&gt;0))</f>
        <v>0.00525120027434842</v>
      </c>
    </row>
    <row r="29" customFormat="false" ht="15" hidden="false" customHeight="false" outlineLevel="0" collapsed="false">
      <c r="A29" s="7" t="s">
        <v>122</v>
      </c>
      <c r="V29" s="26" t="n">
        <f aca="false">SUM(V21:V28)</f>
        <v>0.0293525254752107</v>
      </c>
      <c r="W29" s="26" t="n">
        <f aca="false">SUM(W21:W28)</f>
        <v>0.0297496570644719</v>
      </c>
    </row>
    <row r="30" customFormat="false" ht="15" hidden="false" customHeight="false" outlineLevel="0" collapsed="false">
      <c r="A30" s="2" t="s">
        <v>123</v>
      </c>
      <c r="V30" s="7" t="str">
        <f aca="false">IF(Scenario!$I$5=0,"OK","INVALID: wild on reel 1")</f>
        <v>OK</v>
      </c>
    </row>
    <row r="33" customFormat="false" ht="15" hidden="false" customHeight="false" outlineLevel="0" collapsed="false">
      <c r="A33" s="7" t="s">
        <v>182</v>
      </c>
    </row>
    <row r="34" customFormat="false" ht="39.55" hidden="false" customHeight="false" outlineLevel="0" collapsed="false">
      <c r="A34" s="3" t="s">
        <v>129</v>
      </c>
      <c r="B34" s="3" t="s">
        <v>130</v>
      </c>
      <c r="C34" s="3" t="s">
        <v>131</v>
      </c>
      <c r="D34" s="3" t="s">
        <v>132</v>
      </c>
      <c r="E34" s="3" t="s">
        <v>133</v>
      </c>
      <c r="F34" s="3" t="s">
        <v>134</v>
      </c>
      <c r="G34" s="3" t="s">
        <v>135</v>
      </c>
      <c r="H34" s="3" t="s">
        <v>136</v>
      </c>
      <c r="I34" s="3" t="s">
        <v>137</v>
      </c>
      <c r="J34" s="3" t="s">
        <v>138</v>
      </c>
    </row>
    <row r="35" customFormat="false" ht="15" hidden="false" customHeight="false" outlineLevel="0" collapsed="false">
      <c r="A35" s="7" t="n">
        <v>0</v>
      </c>
      <c r="E35" s="27" t="n">
        <v>1</v>
      </c>
      <c r="F35" s="27" t="n">
        <v>0</v>
      </c>
      <c r="G35" s="27" t="n">
        <v>0</v>
      </c>
      <c r="H35" s="27" t="n">
        <v>0</v>
      </c>
      <c r="I35" s="27" t="n">
        <v>0</v>
      </c>
      <c r="J35" s="27" t="n">
        <v>0</v>
      </c>
    </row>
    <row r="36" customFormat="false" ht="15" hidden="false" customHeight="false" outlineLevel="0" collapsed="false">
      <c r="A36" s="7" t="n">
        <v>1</v>
      </c>
      <c r="B36" s="14" t="n">
        <f aca="false">Scenario!$B$6</f>
        <v>1</v>
      </c>
      <c r="C36" s="14" t="n">
        <f aca="false">Scenario!$B$15</f>
        <v>36</v>
      </c>
      <c r="D36" s="13" t="n">
        <f aca="false">Paytable!$B$26*B36/C36</f>
        <v>0.0833333333333333</v>
      </c>
      <c r="E36" s="13" t="n">
        <f aca="false">E35*(1-$D36)</f>
        <v>0.916666666666667</v>
      </c>
      <c r="F36" s="13" t="n">
        <f aca="false">F35*(1-$D36)+E35*$D36</f>
        <v>0.0833333333333333</v>
      </c>
      <c r="G36" s="13" t="n">
        <f aca="false">G35*(1-$D36)+F35*$D36</f>
        <v>0</v>
      </c>
      <c r="H36" s="13" t="n">
        <f aca="false">H35*(1-$D36)+G35*$D36</f>
        <v>0</v>
      </c>
      <c r="I36" s="13" t="n">
        <f aca="false">I35*(1-$D36)+H35*$D36</f>
        <v>0</v>
      </c>
      <c r="J36" s="13" t="n">
        <f aca="false">J35*(1-$D36)+I35*$D36</f>
        <v>0</v>
      </c>
    </row>
    <row r="37" customFormat="false" ht="15" hidden="false" customHeight="false" outlineLevel="0" collapsed="false">
      <c r="A37" s="7" t="n">
        <v>2</v>
      </c>
      <c r="B37" s="14" t="n">
        <f aca="false">Scenario!$C$6</f>
        <v>1</v>
      </c>
      <c r="C37" s="14" t="n">
        <f aca="false">Scenario!$C$15</f>
        <v>36</v>
      </c>
      <c r="D37" s="13" t="n">
        <f aca="false">Paytable!$B$26*B37/C37</f>
        <v>0.0833333333333333</v>
      </c>
      <c r="E37" s="13" t="n">
        <f aca="false">E36*(1-$D37)</f>
        <v>0.840277777777778</v>
      </c>
      <c r="F37" s="13" t="n">
        <f aca="false">F36*(1-$D37)+E36*$D37</f>
        <v>0.152777777777778</v>
      </c>
      <c r="G37" s="13" t="n">
        <f aca="false">G36*(1-$D37)+F36*$D37</f>
        <v>0.00694444444444444</v>
      </c>
      <c r="H37" s="13" t="n">
        <f aca="false">H36*(1-$D37)+G36*$D37</f>
        <v>0</v>
      </c>
      <c r="I37" s="13" t="n">
        <f aca="false">I36*(1-$D37)+H36*$D37</f>
        <v>0</v>
      </c>
      <c r="J37" s="13" t="n">
        <f aca="false">J36*(1-$D37)+I36*$D37</f>
        <v>0</v>
      </c>
    </row>
    <row r="38" customFormat="false" ht="15" hidden="false" customHeight="false" outlineLevel="0" collapsed="false">
      <c r="A38" s="7" t="n">
        <v>3</v>
      </c>
      <c r="B38" s="14" t="n">
        <f aca="false">Scenario!$D$6</f>
        <v>1</v>
      </c>
      <c r="C38" s="14" t="n">
        <f aca="false">Scenario!$D$15</f>
        <v>36</v>
      </c>
      <c r="D38" s="13" t="n">
        <f aca="false">Paytable!$B$26*B38/C38</f>
        <v>0.0833333333333333</v>
      </c>
      <c r="E38" s="13" t="n">
        <f aca="false">E37*(1-$D38)</f>
        <v>0.77025462962963</v>
      </c>
      <c r="F38" s="13" t="n">
        <f aca="false">F37*(1-$D38)+E37*$D38</f>
        <v>0.210069444444444</v>
      </c>
      <c r="G38" s="13" t="n">
        <f aca="false">G37*(1-$D38)+F37*$D38</f>
        <v>0.0190972222222222</v>
      </c>
      <c r="H38" s="13" t="n">
        <f aca="false">H37*(1-$D38)+G37*$D38</f>
        <v>0.000578703703703704</v>
      </c>
      <c r="I38" s="13" t="n">
        <f aca="false">I37*(1-$D38)+H37*$D38</f>
        <v>0</v>
      </c>
      <c r="J38" s="13" t="n">
        <f aca="false">J37*(1-$D38)+I37*$D38</f>
        <v>0</v>
      </c>
    </row>
    <row r="39" customFormat="false" ht="15" hidden="false" customHeight="false" outlineLevel="0" collapsed="false">
      <c r="A39" s="7" t="n">
        <v>4</v>
      </c>
      <c r="B39" s="14" t="n">
        <f aca="false">Scenario!$E$6</f>
        <v>1</v>
      </c>
      <c r="C39" s="14" t="n">
        <f aca="false">Scenario!$E$15</f>
        <v>35</v>
      </c>
      <c r="D39" s="13" t="n">
        <f aca="false">Paytable!$B$26*B39/C39</f>
        <v>0.0857142857142857</v>
      </c>
      <c r="E39" s="13" t="n">
        <f aca="false">E38*(1-$D39)</f>
        <v>0.704232804232804</v>
      </c>
      <c r="F39" s="13" t="n">
        <f aca="false">F38*(1-$D39)+E38*$D39</f>
        <v>0.258085317460317</v>
      </c>
      <c r="G39" s="13" t="n">
        <f aca="false">G38*(1-$D39)+F38*$D39</f>
        <v>0.0354662698412698</v>
      </c>
      <c r="H39" s="13" t="n">
        <f aca="false">H38*(1-$D39)+G38*$D39</f>
        <v>0.00216600529100529</v>
      </c>
      <c r="I39" s="13" t="n">
        <f aca="false">I38*(1-$D39)+H38*$D39</f>
        <v>4.96031746031746E-005</v>
      </c>
      <c r="J39" s="13" t="n">
        <f aca="false">J38*(1-$D39)+I38*$D39</f>
        <v>0</v>
      </c>
    </row>
    <row r="40" customFormat="false" ht="15" hidden="false" customHeight="false" outlineLevel="0" collapsed="false">
      <c r="A40" s="7" t="n">
        <v>5</v>
      </c>
      <c r="B40" s="14" t="n">
        <f aca="false">Scenario!$F$6</f>
        <v>1</v>
      </c>
      <c r="C40" s="14" t="n">
        <f aca="false">Scenario!$F$15</f>
        <v>34</v>
      </c>
      <c r="D40" s="13" t="n">
        <f aca="false">Paytable!$B$26*B40/C40</f>
        <v>0.0882352941176471</v>
      </c>
      <c r="E40" s="13" t="n">
        <f aca="false">E39*(1-$D40)</f>
        <v>0.642094615624027</v>
      </c>
      <c r="F40" s="13" t="n">
        <f aca="false">F39*(1-$D40)+E39*$D40</f>
        <v>0.297451272175537</v>
      </c>
      <c r="G40" s="13" t="n">
        <f aca="false">G39*(1-$D40)+F39*$D40</f>
        <v>0.055109126984127</v>
      </c>
      <c r="H40" s="13" t="n">
        <f aca="false">H39*(1-$D40)+G39*$D40</f>
        <v>0.00510426392779334</v>
      </c>
      <c r="I40" s="13" t="n">
        <f aca="false">I39*(1-$D40)+H39*$D40</f>
        <v>0.000236344537815126</v>
      </c>
      <c r="J40" s="13" t="n">
        <f aca="false">J39*(1-$D40)+I39*$D40</f>
        <v>4.37675070028011E-006</v>
      </c>
    </row>
    <row r="41" customFormat="false" ht="15" hidden="false" customHeight="false" outlineLevel="0" collapsed="false">
      <c r="A41" s="7" t="s">
        <v>95</v>
      </c>
      <c r="E41" s="13" t="n">
        <f aca="false">SUM(E40:J40)</f>
        <v>1</v>
      </c>
    </row>
    <row r="43" customFormat="false" ht="15" hidden="false" customHeight="false" outlineLevel="0" collapsed="false">
      <c r="A43" s="3" t="s">
        <v>183</v>
      </c>
      <c r="B43" s="3" t="s">
        <v>184</v>
      </c>
      <c r="C43" s="3" t="s">
        <v>185</v>
      </c>
      <c r="D43" s="3" t="s">
        <v>186</v>
      </c>
    </row>
    <row r="44" customFormat="false" ht="15" hidden="false" customHeight="false" outlineLevel="0" collapsed="false">
      <c r="A44" s="2" t="s">
        <v>187</v>
      </c>
      <c r="B44" s="30" t="n">
        <f aca="false">Paytable!$B$27*Scenario!$V$29</f>
        <v>0.587050509504213</v>
      </c>
      <c r="C44" s="4" t="n">
        <f aca="false">Dashboard!$B$5</f>
        <v>0.587050509504213</v>
      </c>
      <c r="D44" s="30" t="n">
        <f aca="false">B44-C44</f>
        <v>0</v>
      </c>
    </row>
    <row r="45" customFormat="false" ht="15" hidden="false" customHeight="false" outlineLevel="0" collapsed="false">
      <c r="A45" s="2" t="s">
        <v>21</v>
      </c>
      <c r="B45" s="30" t="n">
        <f aca="false">Scenario!$H$40*Paytable!$B$19+Scenario!$I$40*Paytable!$B$20+Scenario!$J$40*Paytable!$B$21</f>
        <v>0.0127908107687519</v>
      </c>
      <c r="C45" s="4" t="n">
        <f aca="false">Dashboard!$B$6</f>
        <v>0.0127908107687519</v>
      </c>
      <c r="D45" s="30" t="n">
        <f aca="false">B45-C45</f>
        <v>0</v>
      </c>
    </row>
    <row r="46" customFormat="false" ht="15" hidden="false" customHeight="false" outlineLevel="0" collapsed="false">
      <c r="A46" s="2" t="s">
        <v>188</v>
      </c>
      <c r="B46" s="30" t="n">
        <f aca="false">Scenario!$H$40*FreeSpins!$C$57+Scenario!$I$40*FreeSpins!$C$58+Scenario!$J$40*FreeSpins!$C$59</f>
        <v>0.362181158553111</v>
      </c>
      <c r="C46" s="4" t="n">
        <f aca="false">Dashboard!$B$7</f>
        <v>0.362181158553111</v>
      </c>
      <c r="D46" s="30" t="n">
        <f aca="false">B46-C46</f>
        <v>0</v>
      </c>
    </row>
    <row r="47" customFormat="false" ht="15" hidden="false" customHeight="false" outlineLevel="0" collapsed="false">
      <c r="A47" s="7" t="s">
        <v>189</v>
      </c>
      <c r="B47" s="32" t="n">
        <f aca="false">SUM(B44:B46)</f>
        <v>0.962022478826076</v>
      </c>
      <c r="C47" s="4" t="n">
        <f aca="false">Dashboard!$B$8</f>
        <v>0.962022478826076</v>
      </c>
      <c r="D47" s="30" t="n">
        <f aca="false">B47-C47</f>
        <v>0</v>
      </c>
    </row>
    <row r="48" customFormat="false" ht="15" hidden="false" customHeight="false" outlineLevel="0" collapsed="false">
      <c r="A48" s="2" t="s">
        <v>190</v>
      </c>
      <c r="B48" s="10" t="n">
        <f aca="false">1/(Scenario!$H$40+Scenario!$I$40+Scenario!$J$40)</f>
        <v>187.091256482577</v>
      </c>
      <c r="C48" s="25" t="n">
        <f aca="false">Dashboard!$B$15</f>
        <v>187.091256482577</v>
      </c>
      <c r="D48" s="10" t="n">
        <f aca="false">B48-C48</f>
        <v>0</v>
      </c>
    </row>
    <row r="49" customFormat="false" ht="15" hidden="false" customHeight="false" outlineLevel="0" collapsed="false">
      <c r="A49" s="2" t="s">
        <v>27</v>
      </c>
      <c r="B49" s="30" t="n">
        <f aca="false">Scenario!$W$29</f>
        <v>0.0297496570644719</v>
      </c>
      <c r="C49" s="4" t="n">
        <f aca="false">Dashboard!$B$13</f>
        <v>0.0297496570644719</v>
      </c>
      <c r="D49" s="30" t="n">
        <f aca="false">B49-C49</f>
        <v>0</v>
      </c>
    </row>
    <row r="51" customFormat="false" ht="15" hidden="false" customHeight="false" outlineLevel="0" collapsed="false">
      <c r="A51" s="2" t="s">
        <v>191</v>
      </c>
      <c r="B51" s="7" t="str">
        <f aca="false">Scenario!$V$30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7" t="s">
        <v>194</v>
      </c>
      <c r="B4" s="41"/>
    </row>
    <row r="6" customFormat="false" ht="26.85" hidden="false" customHeight="false" outlineLevel="0" collapsed="false">
      <c r="A6" s="3" t="s">
        <v>195</v>
      </c>
      <c r="B6" s="3" t="s">
        <v>196</v>
      </c>
      <c r="C6" s="3" t="s">
        <v>197</v>
      </c>
      <c r="D6" s="3" t="s">
        <v>198</v>
      </c>
      <c r="E6" s="3" t="s">
        <v>199</v>
      </c>
      <c r="F6" s="3" t="s">
        <v>200</v>
      </c>
    </row>
    <row r="7" customFormat="false" ht="15" hidden="false" customHeight="false" outlineLevel="0" collapsed="false">
      <c r="A7" s="37" t="n">
        <v>0.1</v>
      </c>
      <c r="B7" s="23" t="n">
        <f aca="false">A7/Paytable!$B$27</f>
        <v>0.005</v>
      </c>
      <c r="C7" s="42" t="n">
        <f aca="false">A7*Paytable!$B$28</f>
        <v>150</v>
      </c>
      <c r="D7" s="23" t="n">
        <f aca="false">A7*Dashboard!$B$8</f>
        <v>0.0962022478826076</v>
      </c>
      <c r="E7" s="23" t="n">
        <f aca="false">A7-D7</f>
        <v>0.00379775211739238</v>
      </c>
      <c r="F7" s="2" t="str">
        <f aca="false">IF($B$4="","",IF(A7&gt;$B$4,"ABOVE MAX STAKE","ok"))</f>
        <v/>
      </c>
    </row>
    <row r="8" customFormat="false" ht="15" hidden="false" customHeight="false" outlineLevel="0" collapsed="false">
      <c r="A8" s="37" t="n">
        <v>0.2</v>
      </c>
      <c r="B8" s="23" t="n">
        <f aca="false">A8/Paytable!$B$27</f>
        <v>0.01</v>
      </c>
      <c r="C8" s="42" t="n">
        <f aca="false">A8*Paytable!$B$28</f>
        <v>300</v>
      </c>
      <c r="D8" s="23" t="n">
        <f aca="false">A8*Dashboard!$B$8</f>
        <v>0.192404495765215</v>
      </c>
      <c r="E8" s="23" t="n">
        <f aca="false">A8-D8</f>
        <v>0.00759550423478475</v>
      </c>
      <c r="F8" s="2" t="str">
        <f aca="false">IF($B$4="","",IF(A8&gt;$B$4,"ABOVE MAX STAKE","ok"))</f>
        <v/>
      </c>
    </row>
    <row r="9" customFormat="false" ht="15" hidden="false" customHeight="false" outlineLevel="0" collapsed="false">
      <c r="A9" s="37" t="n">
        <v>0.5</v>
      </c>
      <c r="B9" s="23" t="n">
        <f aca="false">A9/Paytable!$B$27</f>
        <v>0.025</v>
      </c>
      <c r="C9" s="42" t="n">
        <f aca="false">A9*Paytable!$B$28</f>
        <v>750</v>
      </c>
      <c r="D9" s="23" t="n">
        <f aca="false">A9*Dashboard!$B$8</f>
        <v>0.481011239413038</v>
      </c>
      <c r="E9" s="23" t="n">
        <f aca="false">A9-D9</f>
        <v>0.0189887605869619</v>
      </c>
      <c r="F9" s="2" t="str">
        <f aca="false">IF($B$4="","",IF(A9&gt;$B$4,"ABOVE MAX STAKE","ok"))</f>
        <v/>
      </c>
    </row>
    <row r="10" customFormat="false" ht="15" hidden="false" customHeight="false" outlineLevel="0" collapsed="false">
      <c r="A10" s="37" t="n">
        <v>1</v>
      </c>
      <c r="B10" s="23" t="n">
        <f aca="false">A10/Paytable!$B$27</f>
        <v>0.05</v>
      </c>
      <c r="C10" s="42" t="n">
        <f aca="false">A10*Paytable!$B$28</f>
        <v>1500</v>
      </c>
      <c r="D10" s="23" t="n">
        <f aca="false">A10*Dashboard!$B$8</f>
        <v>0.962022478826076</v>
      </c>
      <c r="E10" s="23" t="n">
        <f aca="false">A10-D10</f>
        <v>0.0379775211739237</v>
      </c>
      <c r="F10" s="2" t="str">
        <f aca="false">IF($B$4="","",IF(A10&gt;$B$4,"ABOVE MAX STAKE","ok"))</f>
        <v/>
      </c>
    </row>
    <row r="11" customFormat="false" ht="15" hidden="false" customHeight="false" outlineLevel="0" collapsed="false">
      <c r="A11" s="37" t="n">
        <v>2</v>
      </c>
      <c r="B11" s="23" t="n">
        <f aca="false">A11/Paytable!$B$27</f>
        <v>0.1</v>
      </c>
      <c r="C11" s="42" t="n">
        <f aca="false">A11*Paytable!$B$28</f>
        <v>3000</v>
      </c>
      <c r="D11" s="23" t="n">
        <f aca="false">A11*Dashboard!$B$8</f>
        <v>1.92404495765215</v>
      </c>
      <c r="E11" s="23" t="n">
        <f aca="false">A11-D11</f>
        <v>0.0759550423478475</v>
      </c>
      <c r="F11" s="2" t="str">
        <f aca="false">IF($B$4="","",IF(A11&gt;$B$4,"ABOVE MAX STAKE","ok"))</f>
        <v/>
      </c>
    </row>
    <row r="12" customFormat="false" ht="15" hidden="false" customHeight="false" outlineLevel="0" collapsed="false">
      <c r="A12" s="37" t="n">
        <v>5</v>
      </c>
      <c r="B12" s="23" t="n">
        <f aca="false">A12/Paytable!$B$27</f>
        <v>0.25</v>
      </c>
      <c r="C12" s="42" t="n">
        <f aca="false">A12*Paytable!$B$28</f>
        <v>7500</v>
      </c>
      <c r="D12" s="23" t="n">
        <f aca="false">A12*Dashboard!$B$8</f>
        <v>4.81011239413038</v>
      </c>
      <c r="E12" s="23" t="n">
        <f aca="false">A12-D12</f>
        <v>0.189887605869618</v>
      </c>
      <c r="F12" s="2" t="str">
        <f aca="false">IF($B$4="","",IF(A12&gt;$B$4,"ABOVE MAX STAKE","ok"))</f>
        <v/>
      </c>
    </row>
    <row r="13" customFormat="false" ht="15" hidden="false" customHeight="false" outlineLevel="0" collapsed="false">
      <c r="A13" s="37" t="n">
        <v>10</v>
      </c>
      <c r="B13" s="23" t="n">
        <f aca="false">A13/Paytable!$B$27</f>
        <v>0.5</v>
      </c>
      <c r="C13" s="42" t="n">
        <f aca="false">A13*Paytable!$B$28</f>
        <v>15000</v>
      </c>
      <c r="D13" s="23" t="n">
        <f aca="false">A13*Dashboard!$B$8</f>
        <v>9.62022478826076</v>
      </c>
      <c r="E13" s="23" t="n">
        <f aca="false">A13-D13</f>
        <v>0.379775211739236</v>
      </c>
      <c r="F13" s="2" t="str">
        <f aca="false">IF($B$4="","",IF(A13&gt;$B$4,"ABOVE MAX STAKE","ok"))</f>
        <v/>
      </c>
    </row>
    <row r="14" customFormat="false" ht="15" hidden="false" customHeight="false" outlineLevel="0" collapsed="false">
      <c r="A14" s="37" t="n">
        <v>20</v>
      </c>
      <c r="B14" s="23" t="n">
        <f aca="false">A14/Paytable!$B$27</f>
        <v>1</v>
      </c>
      <c r="C14" s="42" t="n">
        <f aca="false">A14*Paytable!$B$28</f>
        <v>30000</v>
      </c>
      <c r="D14" s="23" t="n">
        <f aca="false">A14*Dashboard!$B$8</f>
        <v>19.2404495765215</v>
      </c>
      <c r="E14" s="23" t="n">
        <f aca="false">A14-D14</f>
        <v>0.759550423478473</v>
      </c>
      <c r="F14" s="2" t="str">
        <f aca="false">IF($B$4="","",IF(A14&gt;$B$4,"ABOVE MAX STAKE","ok"))</f>
        <v/>
      </c>
    </row>
    <row r="15" customFormat="false" ht="15" hidden="false" customHeight="false" outlineLevel="0" collapsed="false">
      <c r="A15" s="37" t="n">
        <v>50</v>
      </c>
      <c r="B15" s="23" t="n">
        <f aca="false">A15/Paytable!$B$27</f>
        <v>2.5</v>
      </c>
      <c r="C15" s="42" t="n">
        <f aca="false">A15*Paytable!$B$28</f>
        <v>75000</v>
      </c>
      <c r="D15" s="23" t="n">
        <f aca="false">A15*Dashboard!$B$8</f>
        <v>48.1011239413038</v>
      </c>
      <c r="E15" s="23" t="n">
        <f aca="false">A15-D15</f>
        <v>1.89887605869619</v>
      </c>
      <c r="F15" s="2" t="str">
        <f aca="false">IF($B$4="","",IF(A15&gt;$B$4,"ABOVE MAX STAKE","ok"))</f>
        <v/>
      </c>
    </row>
    <row r="16" customFormat="false" ht="15" hidden="false" customHeight="false" outlineLevel="0" collapsed="false">
      <c r="A16" s="37" t="n">
        <v>100</v>
      </c>
      <c r="B16" s="23" t="n">
        <f aca="false">A16/Paytable!$B$27</f>
        <v>5</v>
      </c>
      <c r="C16" s="42" t="n">
        <f aca="false">A16*Paytable!$B$28</f>
        <v>150000</v>
      </c>
      <c r="D16" s="23" t="n">
        <f aca="false">A16*Dashboard!$B$8</f>
        <v>96.2022478826076</v>
      </c>
      <c r="E16" s="23" t="n">
        <f aca="false">A16-D16</f>
        <v>3.79775211739238</v>
      </c>
      <c r="F16" s="2" t="str">
        <f aca="false">IF($B$4="","",IF(A16&gt;$B$4,"ABOVE MAX STAKE","ok"))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2026-10-29T12:01:26Z</dcterms:created>
  <dc:creator>openpyxl</dc:creator>
  <dc:description/>
  <dc:language>en-US</dc:language>
  <cp:lastModifiedBy/>
  <dcterms:modified xsi:type="dcterms:W3CDTF">2026-10-29T12:01:26Z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