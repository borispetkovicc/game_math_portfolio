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ug.kth.se\dfs\home\b\o\borisp\appdata\xp.V2\Desktop\Game\slot-math-portfolio\game-math-portfolio\docs\"/>
    </mc:Choice>
  </mc:AlternateContent>
  <bookViews>
    <workbookView xWindow="0" yWindow="0" windowWidth="16380" windowHeight="8190" tabRatio="500" firstSheet="3" activeTab="8"/>
  </bookViews>
  <sheets>
    <sheet name="README" sheetId="1" r:id="rId1"/>
    <sheet name="Dashboard" sheetId="2" r:id="rId2"/>
    <sheet name="Paytable" sheetId="3" r:id="rId3"/>
    <sheet name="Reels_Base" sheetId="4" r:id="rId4"/>
    <sheet name="Reels_FS" sheetId="5" r:id="rId5"/>
    <sheet name="Lines_Base" sheetId="6" r:id="rId6"/>
    <sheet name="Lines_FS" sheetId="7" r:id="rId7"/>
    <sheet name="Scatters" sheetId="8" r:id="rId8"/>
    <sheet name="FreeSpins" sheetId="9" r:id="rId9"/>
    <sheet name="Scenario" sheetId="10" r:id="rId10"/>
    <sheet name="Bets" sheetId="11" r:id="rId11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6" i="11" l="1"/>
  <c r="C16" i="11"/>
  <c r="B16" i="11"/>
  <c r="F15" i="11"/>
  <c r="C15" i="11"/>
  <c r="B15" i="11"/>
  <c r="F14" i="11"/>
  <c r="C14" i="11"/>
  <c r="B14" i="11"/>
  <c r="F13" i="11"/>
  <c r="C13" i="11"/>
  <c r="B13" i="11"/>
  <c r="F12" i="11"/>
  <c r="C12" i="11"/>
  <c r="B12" i="11"/>
  <c r="F11" i="11"/>
  <c r="C11" i="11"/>
  <c r="B11" i="11"/>
  <c r="F10" i="11"/>
  <c r="C10" i="11"/>
  <c r="B10" i="11"/>
  <c r="F9" i="11"/>
  <c r="C9" i="11"/>
  <c r="B9" i="11"/>
  <c r="F8" i="11"/>
  <c r="C8" i="11"/>
  <c r="B8" i="11"/>
  <c r="F7" i="11"/>
  <c r="C7" i="11"/>
  <c r="B7" i="11"/>
  <c r="B40" i="10"/>
  <c r="B39" i="10"/>
  <c r="B38" i="10"/>
  <c r="B37" i="10"/>
  <c r="B36" i="10"/>
  <c r="U28" i="10"/>
  <c r="T28" i="10"/>
  <c r="S28" i="10"/>
  <c r="U27" i="10"/>
  <c r="T27" i="10"/>
  <c r="S27" i="10"/>
  <c r="U26" i="10"/>
  <c r="T26" i="10"/>
  <c r="S26" i="10"/>
  <c r="U25" i="10"/>
  <c r="T25" i="10"/>
  <c r="S25" i="10"/>
  <c r="E25" i="10"/>
  <c r="U24" i="10"/>
  <c r="T24" i="10"/>
  <c r="S24" i="10"/>
  <c r="U23" i="10"/>
  <c r="T23" i="10"/>
  <c r="S23" i="10"/>
  <c r="I23" i="10"/>
  <c r="U22" i="10"/>
  <c r="T22" i="10"/>
  <c r="S22" i="10"/>
  <c r="I22" i="10"/>
  <c r="U21" i="10"/>
  <c r="T21" i="10"/>
  <c r="S21" i="10"/>
  <c r="F21" i="10"/>
  <c r="E21" i="10"/>
  <c r="F15" i="10"/>
  <c r="C40" i="10" s="1"/>
  <c r="D40" i="10" s="1"/>
  <c r="E15" i="10"/>
  <c r="L14" i="10" s="1"/>
  <c r="E28" i="10" s="1"/>
  <c r="D15" i="10"/>
  <c r="C15" i="10"/>
  <c r="C37" i="10" s="1"/>
  <c r="D37" i="10" s="1"/>
  <c r="B15" i="10"/>
  <c r="M14" i="10"/>
  <c r="F28" i="10" s="1"/>
  <c r="M13" i="10"/>
  <c r="F27" i="10" s="1"/>
  <c r="L13" i="10"/>
  <c r="E27" i="10" s="1"/>
  <c r="M12" i="10"/>
  <c r="F26" i="10" s="1"/>
  <c r="L12" i="10"/>
  <c r="E26" i="10" s="1"/>
  <c r="J12" i="10"/>
  <c r="C26" i="10" s="1"/>
  <c r="M11" i="10"/>
  <c r="F25" i="10" s="1"/>
  <c r="L11" i="10"/>
  <c r="M10" i="10"/>
  <c r="F24" i="10" s="1"/>
  <c r="L10" i="10"/>
  <c r="E24" i="10" s="1"/>
  <c r="J10" i="10"/>
  <c r="C24" i="10" s="1"/>
  <c r="M9" i="10"/>
  <c r="F23" i="10" s="1"/>
  <c r="L9" i="10"/>
  <c r="E23" i="10" s="1"/>
  <c r="I9" i="10"/>
  <c r="B23" i="10" s="1"/>
  <c r="K23" i="10" s="1"/>
  <c r="M8" i="10"/>
  <c r="F22" i="10" s="1"/>
  <c r="L8" i="10"/>
  <c r="E22" i="10" s="1"/>
  <c r="M7" i="10"/>
  <c r="L7" i="10"/>
  <c r="J7" i="10"/>
  <c r="C21" i="10" s="1"/>
  <c r="I7" i="10"/>
  <c r="B21" i="10" s="1"/>
  <c r="K21" i="10" s="1"/>
  <c r="M6" i="10"/>
  <c r="L6" i="10"/>
  <c r="M5" i="10"/>
  <c r="L5" i="10"/>
  <c r="I26" i="10" s="1"/>
  <c r="B59" i="9"/>
  <c r="B58" i="9"/>
  <c r="B57" i="9"/>
  <c r="F18" i="9"/>
  <c r="Z17" i="9"/>
  <c r="U17" i="9"/>
  <c r="P17" i="9"/>
  <c r="K17" i="9"/>
  <c r="F17" i="9"/>
  <c r="B12" i="9"/>
  <c r="B11" i="9"/>
  <c r="B10" i="9"/>
  <c r="F18" i="8"/>
  <c r="D18" i="8"/>
  <c r="F17" i="8"/>
  <c r="D17" i="8"/>
  <c r="F16" i="8"/>
  <c r="D16" i="8"/>
  <c r="U13" i="7"/>
  <c r="T13" i="7"/>
  <c r="S13" i="7"/>
  <c r="U12" i="7"/>
  <c r="T12" i="7"/>
  <c r="S12" i="7"/>
  <c r="U11" i="7"/>
  <c r="T11" i="7"/>
  <c r="S11" i="7"/>
  <c r="U10" i="7"/>
  <c r="T10" i="7"/>
  <c r="S10" i="7"/>
  <c r="U9" i="7"/>
  <c r="T9" i="7"/>
  <c r="S9" i="7"/>
  <c r="U8" i="7"/>
  <c r="T8" i="7"/>
  <c r="S8" i="7"/>
  <c r="U7" i="7"/>
  <c r="T7" i="7"/>
  <c r="S7" i="7"/>
  <c r="U6" i="7"/>
  <c r="T6" i="7"/>
  <c r="S6" i="7"/>
  <c r="U13" i="6"/>
  <c r="T13" i="6"/>
  <c r="S13" i="6"/>
  <c r="U12" i="6"/>
  <c r="T12" i="6"/>
  <c r="S12" i="6"/>
  <c r="U11" i="6"/>
  <c r="T11" i="6"/>
  <c r="S11" i="6"/>
  <c r="U10" i="6"/>
  <c r="T10" i="6"/>
  <c r="S10" i="6"/>
  <c r="U9" i="6"/>
  <c r="T9" i="6"/>
  <c r="S9" i="6"/>
  <c r="U8" i="6"/>
  <c r="T8" i="6"/>
  <c r="S8" i="6"/>
  <c r="U7" i="6"/>
  <c r="T7" i="6"/>
  <c r="S7" i="6"/>
  <c r="U6" i="6"/>
  <c r="T6" i="6"/>
  <c r="S6" i="6"/>
  <c r="N15" i="5"/>
  <c r="C30" i="8" s="1"/>
  <c r="M15" i="5"/>
  <c r="C29" i="8" s="1"/>
  <c r="L15" i="5"/>
  <c r="C28" i="8" s="1"/>
  <c r="K15" i="5"/>
  <c r="C27" i="8" s="1"/>
  <c r="J15" i="5"/>
  <c r="C26" i="8" s="1"/>
  <c r="N14" i="5"/>
  <c r="U14" i="5" s="1"/>
  <c r="F13" i="7" s="1"/>
  <c r="M14" i="5"/>
  <c r="T14" i="5" s="1"/>
  <c r="E13" i="7" s="1"/>
  <c r="L14" i="5"/>
  <c r="S14" i="5" s="1"/>
  <c r="D13" i="7" s="1"/>
  <c r="K14" i="5"/>
  <c r="R14" i="5" s="1"/>
  <c r="C13" i="7" s="1"/>
  <c r="J14" i="5"/>
  <c r="Q14" i="5" s="1"/>
  <c r="B13" i="7" s="1"/>
  <c r="K13" i="7" s="1"/>
  <c r="R13" i="5"/>
  <c r="C12" i="7" s="1"/>
  <c r="Q13" i="5"/>
  <c r="B12" i="7" s="1"/>
  <c r="K12" i="7" s="1"/>
  <c r="N13" i="5"/>
  <c r="U13" i="5" s="1"/>
  <c r="F12" i="7" s="1"/>
  <c r="M13" i="5"/>
  <c r="T13" i="5" s="1"/>
  <c r="E12" i="7" s="1"/>
  <c r="L13" i="5"/>
  <c r="S13" i="5" s="1"/>
  <c r="D12" i="7" s="1"/>
  <c r="K13" i="5"/>
  <c r="J13" i="5"/>
  <c r="T12" i="5"/>
  <c r="E11" i="7" s="1"/>
  <c r="N12" i="5"/>
  <c r="U12" i="5" s="1"/>
  <c r="F11" i="7" s="1"/>
  <c r="M12" i="5"/>
  <c r="L12" i="5"/>
  <c r="S12" i="5" s="1"/>
  <c r="D11" i="7" s="1"/>
  <c r="K12" i="5"/>
  <c r="R12" i="5" s="1"/>
  <c r="C11" i="7" s="1"/>
  <c r="J12" i="5"/>
  <c r="Q12" i="5" s="1"/>
  <c r="B11" i="7" s="1"/>
  <c r="K11" i="7" s="1"/>
  <c r="T11" i="5"/>
  <c r="E10" i="7" s="1"/>
  <c r="R11" i="5"/>
  <c r="C10" i="7" s="1"/>
  <c r="N11" i="5"/>
  <c r="U11" i="5" s="1"/>
  <c r="F10" i="7" s="1"/>
  <c r="M11" i="5"/>
  <c r="L11" i="5"/>
  <c r="S11" i="5" s="1"/>
  <c r="D10" i="7" s="1"/>
  <c r="K11" i="5"/>
  <c r="J11" i="5"/>
  <c r="Q11" i="5" s="1"/>
  <c r="B10" i="7" s="1"/>
  <c r="K10" i="7" s="1"/>
  <c r="Q10" i="5"/>
  <c r="B9" i="7" s="1"/>
  <c r="K9" i="7" s="1"/>
  <c r="N10" i="5"/>
  <c r="U10" i="5" s="1"/>
  <c r="F9" i="7" s="1"/>
  <c r="M10" i="5"/>
  <c r="T10" i="5" s="1"/>
  <c r="E9" i="7" s="1"/>
  <c r="L10" i="5"/>
  <c r="S10" i="5" s="1"/>
  <c r="D9" i="7" s="1"/>
  <c r="K10" i="5"/>
  <c r="R10" i="5" s="1"/>
  <c r="C9" i="7" s="1"/>
  <c r="J10" i="5"/>
  <c r="S9" i="5"/>
  <c r="D8" i="7" s="1"/>
  <c r="R9" i="5"/>
  <c r="C8" i="7" s="1"/>
  <c r="Q9" i="5"/>
  <c r="B8" i="7" s="1"/>
  <c r="K8" i="7" s="1"/>
  <c r="N9" i="5"/>
  <c r="U9" i="5" s="1"/>
  <c r="F8" i="7" s="1"/>
  <c r="M9" i="5"/>
  <c r="T9" i="5" s="1"/>
  <c r="E8" i="7" s="1"/>
  <c r="L9" i="5"/>
  <c r="K9" i="5"/>
  <c r="J9" i="5"/>
  <c r="U8" i="5"/>
  <c r="F7" i="7" s="1"/>
  <c r="T8" i="5"/>
  <c r="E7" i="7" s="1"/>
  <c r="R8" i="5"/>
  <c r="C7" i="7" s="1"/>
  <c r="N8" i="5"/>
  <c r="M8" i="5"/>
  <c r="L8" i="5"/>
  <c r="S8" i="5" s="1"/>
  <c r="D7" i="7" s="1"/>
  <c r="K8" i="5"/>
  <c r="J8" i="5"/>
  <c r="Q8" i="5" s="1"/>
  <c r="B7" i="7" s="1"/>
  <c r="K7" i="7" s="1"/>
  <c r="T7" i="5"/>
  <c r="E6" i="7" s="1"/>
  <c r="R7" i="5"/>
  <c r="C6" i="7" s="1"/>
  <c r="N7" i="5"/>
  <c r="U7" i="5" s="1"/>
  <c r="F6" i="7" s="1"/>
  <c r="M7" i="5"/>
  <c r="L7" i="5"/>
  <c r="S7" i="5" s="1"/>
  <c r="D6" i="7" s="1"/>
  <c r="K7" i="5"/>
  <c r="J7" i="5"/>
  <c r="Q7" i="5" s="1"/>
  <c r="B6" i="7" s="1"/>
  <c r="K6" i="7" s="1"/>
  <c r="T6" i="5"/>
  <c r="Q6" i="5"/>
  <c r="N6" i="5"/>
  <c r="B30" i="8" s="1"/>
  <c r="M6" i="5"/>
  <c r="B29" i="8" s="1"/>
  <c r="D29" i="8" s="1"/>
  <c r="L6" i="5"/>
  <c r="B28" i="8" s="1"/>
  <c r="D28" i="8" s="1"/>
  <c r="K6" i="5"/>
  <c r="B27" i="8" s="1"/>
  <c r="D27" i="8" s="1"/>
  <c r="J6" i="5"/>
  <c r="B26" i="8" s="1"/>
  <c r="D26" i="8" s="1"/>
  <c r="S5" i="5"/>
  <c r="H13" i="7" s="1"/>
  <c r="R5" i="5"/>
  <c r="G11" i="7" s="1"/>
  <c r="N5" i="5"/>
  <c r="U5" i="5" s="1"/>
  <c r="M5" i="5"/>
  <c r="T5" i="5" s="1"/>
  <c r="L5" i="5"/>
  <c r="K5" i="5"/>
  <c r="J5" i="5"/>
  <c r="Q5" i="5" s="1"/>
  <c r="N15" i="4"/>
  <c r="C11" i="8" s="1"/>
  <c r="M15" i="4"/>
  <c r="C10" i="8" s="1"/>
  <c r="L15" i="4"/>
  <c r="C9" i="8" s="1"/>
  <c r="K15" i="4"/>
  <c r="C8" i="8" s="1"/>
  <c r="J15" i="4"/>
  <c r="C7" i="8" s="1"/>
  <c r="T14" i="4"/>
  <c r="E13" i="6" s="1"/>
  <c r="N14" i="4"/>
  <c r="U14" i="4" s="1"/>
  <c r="F13" i="6" s="1"/>
  <c r="M14" i="4"/>
  <c r="L14" i="4"/>
  <c r="S14" i="4" s="1"/>
  <c r="D13" i="6" s="1"/>
  <c r="K14" i="4"/>
  <c r="J14" i="4"/>
  <c r="Q14" i="4" s="1"/>
  <c r="B13" i="6" s="1"/>
  <c r="K13" i="6" s="1"/>
  <c r="T13" i="4"/>
  <c r="E12" i="6" s="1"/>
  <c r="N13" i="4"/>
  <c r="U13" i="4" s="1"/>
  <c r="F12" i="6" s="1"/>
  <c r="M13" i="4"/>
  <c r="L13" i="4"/>
  <c r="S13" i="4" s="1"/>
  <c r="D12" i="6" s="1"/>
  <c r="K13" i="4"/>
  <c r="R13" i="4" s="1"/>
  <c r="C12" i="6" s="1"/>
  <c r="J13" i="4"/>
  <c r="S12" i="4"/>
  <c r="D11" i="6" s="1"/>
  <c r="R12" i="4"/>
  <c r="C11" i="6" s="1"/>
  <c r="N12" i="4"/>
  <c r="U12" i="4" s="1"/>
  <c r="F11" i="6" s="1"/>
  <c r="M12" i="4"/>
  <c r="T12" i="4" s="1"/>
  <c r="E11" i="6" s="1"/>
  <c r="L12" i="4"/>
  <c r="K12" i="4"/>
  <c r="J12" i="4"/>
  <c r="Q12" i="4" s="1"/>
  <c r="B11" i="6" s="1"/>
  <c r="K11" i="6" s="1"/>
  <c r="U11" i="4"/>
  <c r="F10" i="6" s="1"/>
  <c r="T11" i="4"/>
  <c r="E10" i="6" s="1"/>
  <c r="R11" i="4"/>
  <c r="C10" i="6" s="1"/>
  <c r="N11" i="4"/>
  <c r="M11" i="4"/>
  <c r="L11" i="4"/>
  <c r="S11" i="4" s="1"/>
  <c r="D10" i="6" s="1"/>
  <c r="K11" i="4"/>
  <c r="J11" i="4"/>
  <c r="Q11" i="4" s="1"/>
  <c r="B10" i="6" s="1"/>
  <c r="K10" i="6" s="1"/>
  <c r="T10" i="4"/>
  <c r="E9" i="6" s="1"/>
  <c r="N10" i="4"/>
  <c r="U10" i="4" s="1"/>
  <c r="F9" i="6" s="1"/>
  <c r="M10" i="4"/>
  <c r="L10" i="4"/>
  <c r="S10" i="4" s="1"/>
  <c r="D9" i="6" s="1"/>
  <c r="K10" i="4"/>
  <c r="J10" i="4"/>
  <c r="Q10" i="4" s="1"/>
  <c r="B9" i="6" s="1"/>
  <c r="K9" i="6" s="1"/>
  <c r="T9" i="4"/>
  <c r="E8" i="6" s="1"/>
  <c r="N9" i="4"/>
  <c r="U9" i="4" s="1"/>
  <c r="F8" i="6" s="1"/>
  <c r="M9" i="4"/>
  <c r="L9" i="4"/>
  <c r="S9" i="4" s="1"/>
  <c r="D8" i="6" s="1"/>
  <c r="K9" i="4"/>
  <c r="J9" i="4"/>
  <c r="S8" i="4"/>
  <c r="D7" i="6" s="1"/>
  <c r="R8" i="4"/>
  <c r="C7" i="6" s="1"/>
  <c r="N8" i="4"/>
  <c r="U8" i="4" s="1"/>
  <c r="F7" i="6" s="1"/>
  <c r="M8" i="4"/>
  <c r="T8" i="4" s="1"/>
  <c r="E7" i="6" s="1"/>
  <c r="L8" i="4"/>
  <c r="K8" i="4"/>
  <c r="J8" i="4"/>
  <c r="Q8" i="4" s="1"/>
  <c r="B7" i="6" s="1"/>
  <c r="K7" i="6" s="1"/>
  <c r="U7" i="4"/>
  <c r="F6" i="6" s="1"/>
  <c r="T7" i="4"/>
  <c r="E6" i="6" s="1"/>
  <c r="R7" i="4"/>
  <c r="C6" i="6" s="1"/>
  <c r="N7" i="4"/>
  <c r="M7" i="4"/>
  <c r="L7" i="4"/>
  <c r="S7" i="4" s="1"/>
  <c r="D6" i="6" s="1"/>
  <c r="K7" i="4"/>
  <c r="J7" i="4"/>
  <c r="Q7" i="4" s="1"/>
  <c r="B6" i="6" s="1"/>
  <c r="K6" i="6" s="1"/>
  <c r="T6" i="4"/>
  <c r="N6" i="4"/>
  <c r="U6" i="4" s="1"/>
  <c r="M6" i="4"/>
  <c r="B10" i="8" s="1"/>
  <c r="D10" i="8" s="1"/>
  <c r="L6" i="4"/>
  <c r="B9" i="8" s="1"/>
  <c r="D9" i="8" s="1"/>
  <c r="K6" i="4"/>
  <c r="B8" i="8" s="1"/>
  <c r="D8" i="8" s="1"/>
  <c r="J6" i="4"/>
  <c r="T5" i="4"/>
  <c r="I10" i="6" s="1"/>
  <c r="N5" i="4"/>
  <c r="U5" i="4" s="1"/>
  <c r="M5" i="4"/>
  <c r="L5" i="4"/>
  <c r="S5" i="4" s="1"/>
  <c r="K5" i="4"/>
  <c r="J5" i="4"/>
  <c r="L11" i="7" l="1"/>
  <c r="J12" i="7"/>
  <c r="J8" i="7"/>
  <c r="J13" i="7"/>
  <c r="J9" i="7"/>
  <c r="U15" i="5"/>
  <c r="J10" i="7"/>
  <c r="J11" i="7"/>
  <c r="J6" i="7"/>
  <c r="J7" i="7"/>
  <c r="V15" i="7"/>
  <c r="Q15" i="5"/>
  <c r="S15" i="4"/>
  <c r="H10" i="6"/>
  <c r="H6" i="6"/>
  <c r="H11" i="6"/>
  <c r="H7" i="6"/>
  <c r="H12" i="6"/>
  <c r="H8" i="6"/>
  <c r="H13" i="6"/>
  <c r="H9" i="6"/>
  <c r="I12" i="7"/>
  <c r="I8" i="7"/>
  <c r="I7" i="7"/>
  <c r="T15" i="5"/>
  <c r="I13" i="7"/>
  <c r="I9" i="7"/>
  <c r="I10" i="7"/>
  <c r="I11" i="7"/>
  <c r="I6" i="7"/>
  <c r="D30" i="8"/>
  <c r="T15" i="4"/>
  <c r="J11" i="6"/>
  <c r="J7" i="6"/>
  <c r="J12" i="6"/>
  <c r="J8" i="6"/>
  <c r="U15" i="4"/>
  <c r="J13" i="6"/>
  <c r="J9" i="6"/>
  <c r="J10" i="6"/>
  <c r="J6" i="6"/>
  <c r="B7" i="8"/>
  <c r="D7" i="8" s="1"/>
  <c r="Q6" i="4"/>
  <c r="G6" i="7"/>
  <c r="L6" i="7" s="1"/>
  <c r="M6" i="7" s="1"/>
  <c r="I9" i="6"/>
  <c r="I13" i="6"/>
  <c r="H6" i="7"/>
  <c r="G10" i="7"/>
  <c r="L10" i="7" s="1"/>
  <c r="M10" i="7" s="1"/>
  <c r="B11" i="8"/>
  <c r="D11" i="8" s="1"/>
  <c r="K10" i="10"/>
  <c r="D24" i="10" s="1"/>
  <c r="K8" i="10"/>
  <c r="D22" i="10" s="1"/>
  <c r="K11" i="10"/>
  <c r="D25" i="10" s="1"/>
  <c r="K14" i="10"/>
  <c r="D28" i="10" s="1"/>
  <c r="K6" i="10"/>
  <c r="K9" i="10"/>
  <c r="D23" i="10" s="1"/>
  <c r="C38" i="10"/>
  <c r="D38" i="10" s="1"/>
  <c r="K12" i="10"/>
  <c r="D26" i="10" s="1"/>
  <c r="K5" i="10"/>
  <c r="Q5" i="4"/>
  <c r="R9" i="4"/>
  <c r="C8" i="6" s="1"/>
  <c r="R6" i="5"/>
  <c r="R15" i="5" s="1"/>
  <c r="G9" i="7"/>
  <c r="H10" i="7"/>
  <c r="G13" i="7"/>
  <c r="L13" i="7" s="1"/>
  <c r="M13" i="7" s="1"/>
  <c r="L9" i="7"/>
  <c r="M9" i="7" s="1"/>
  <c r="R5" i="4"/>
  <c r="S6" i="5"/>
  <c r="I8" i="6"/>
  <c r="I12" i="6"/>
  <c r="H9" i="7"/>
  <c r="K7" i="10"/>
  <c r="D21" i="10" s="1"/>
  <c r="K13" i="10"/>
  <c r="D27" i="10" s="1"/>
  <c r="Q9" i="4"/>
  <c r="B8" i="6" s="1"/>
  <c r="K8" i="6" s="1"/>
  <c r="Q13" i="4"/>
  <c r="B12" i="6" s="1"/>
  <c r="K12" i="6" s="1"/>
  <c r="H11" i="7"/>
  <c r="H12" i="7"/>
  <c r="H8" i="7"/>
  <c r="R6" i="4"/>
  <c r="R10" i="4"/>
  <c r="C9" i="6" s="1"/>
  <c r="R14" i="4"/>
  <c r="C13" i="6" s="1"/>
  <c r="J26" i="8"/>
  <c r="J27" i="8" s="1"/>
  <c r="I26" i="8"/>
  <c r="E26" i="8"/>
  <c r="E27" i="8" s="1"/>
  <c r="E28" i="8" s="1"/>
  <c r="E29" i="8" s="1"/>
  <c r="E30" i="8" s="1"/>
  <c r="U18" i="9"/>
  <c r="Z18" i="9"/>
  <c r="S6" i="4"/>
  <c r="U6" i="5"/>
  <c r="S15" i="5"/>
  <c r="I7" i="6"/>
  <c r="I11" i="6"/>
  <c r="G7" i="7"/>
  <c r="L7" i="7" s="1"/>
  <c r="M7" i="7" s="1"/>
  <c r="G8" i="7"/>
  <c r="L8" i="7" s="1"/>
  <c r="M8" i="7" s="1"/>
  <c r="F26" i="8"/>
  <c r="F27" i="8" s="1"/>
  <c r="F28" i="8" s="1"/>
  <c r="F29" i="8" s="1"/>
  <c r="F30" i="8" s="1"/>
  <c r="H7" i="7"/>
  <c r="G26" i="8"/>
  <c r="G27" i="8" s="1"/>
  <c r="G28" i="8" s="1"/>
  <c r="G29" i="8" s="1"/>
  <c r="G30" i="8" s="1"/>
  <c r="I6" i="6"/>
  <c r="G12" i="7"/>
  <c r="L12" i="7" s="1"/>
  <c r="M12" i="7" s="1"/>
  <c r="H26" i="8"/>
  <c r="K18" i="9"/>
  <c r="F19" i="9" s="1"/>
  <c r="P18" i="9"/>
  <c r="K19" i="9" s="1"/>
  <c r="F20" i="9" s="1"/>
  <c r="J27" i="10"/>
  <c r="J23" i="10"/>
  <c r="J28" i="10"/>
  <c r="J24" i="10"/>
  <c r="J25" i="10"/>
  <c r="J21" i="10"/>
  <c r="J26" i="10"/>
  <c r="J22" i="10"/>
  <c r="C36" i="10"/>
  <c r="D36" i="10" s="1"/>
  <c r="I12" i="10"/>
  <c r="B26" i="10" s="1"/>
  <c r="K26" i="10" s="1"/>
  <c r="I10" i="10"/>
  <c r="B24" i="10" s="1"/>
  <c r="K24" i="10" s="1"/>
  <c r="I13" i="10"/>
  <c r="B27" i="10" s="1"/>
  <c r="K27" i="10" s="1"/>
  <c r="I5" i="10"/>
  <c r="V30" i="10" s="1"/>
  <c r="B51" i="10" s="1"/>
  <c r="I8" i="10"/>
  <c r="B22" i="10" s="1"/>
  <c r="K22" i="10" s="1"/>
  <c r="I11" i="10"/>
  <c r="B25" i="10" s="1"/>
  <c r="K25" i="10" s="1"/>
  <c r="I14" i="10"/>
  <c r="B28" i="10" s="1"/>
  <c r="K28" i="10" s="1"/>
  <c r="I6" i="10"/>
  <c r="J9" i="10"/>
  <c r="C23" i="10" s="1"/>
  <c r="J6" i="10"/>
  <c r="J14" i="10"/>
  <c r="C28" i="10" s="1"/>
  <c r="I21" i="10"/>
  <c r="I25" i="10"/>
  <c r="C39" i="10"/>
  <c r="D39" i="10" s="1"/>
  <c r="J11" i="10"/>
  <c r="C25" i="10" s="1"/>
  <c r="J8" i="10"/>
  <c r="C22" i="10" s="1"/>
  <c r="I24" i="10"/>
  <c r="I28" i="10"/>
  <c r="J5" i="10"/>
  <c r="J13" i="10"/>
  <c r="C27" i="10" s="1"/>
  <c r="I27" i="10"/>
  <c r="N13" i="7" l="1"/>
  <c r="P8" i="7"/>
  <c r="N8" i="7"/>
  <c r="N6" i="7"/>
  <c r="P6" i="7"/>
  <c r="N10" i="7"/>
  <c r="P7" i="7"/>
  <c r="N7" i="7"/>
  <c r="N12" i="7"/>
  <c r="N9" i="7"/>
  <c r="J36" i="10"/>
  <c r="I36" i="10"/>
  <c r="H36" i="10"/>
  <c r="H37" i="10" s="1"/>
  <c r="G36" i="10"/>
  <c r="F36" i="10"/>
  <c r="E36" i="10"/>
  <c r="E37" i="10" s="1"/>
  <c r="E38" i="10" s="1"/>
  <c r="E39" i="10" s="1"/>
  <c r="E40" i="10" s="1"/>
  <c r="P19" i="9"/>
  <c r="K20" i="9" s="1"/>
  <c r="F21" i="9" s="1"/>
  <c r="L25" i="10"/>
  <c r="M11" i="7"/>
  <c r="Q15" i="4"/>
  <c r="V15" i="6"/>
  <c r="B17" i="2" s="1"/>
  <c r="Z19" i="9"/>
  <c r="U19" i="9"/>
  <c r="P20" i="9" s="1"/>
  <c r="K21" i="9" s="1"/>
  <c r="J7" i="8"/>
  <c r="I7" i="8"/>
  <c r="H7" i="8"/>
  <c r="G7" i="8"/>
  <c r="G8" i="8" s="1"/>
  <c r="G9" i="8" s="1"/>
  <c r="G10" i="8" s="1"/>
  <c r="G11" i="8" s="1"/>
  <c r="F7" i="8"/>
  <c r="F8" i="8" s="1"/>
  <c r="F9" i="8" s="1"/>
  <c r="F10" i="8" s="1"/>
  <c r="F11" i="8" s="1"/>
  <c r="E7" i="8"/>
  <c r="E8" i="8" s="1"/>
  <c r="E9" i="8" s="1"/>
  <c r="E10" i="8" s="1"/>
  <c r="E11" i="8" s="1"/>
  <c r="H27" i="8"/>
  <c r="H28" i="8" s="1"/>
  <c r="H29" i="8" s="1"/>
  <c r="H30" i="8" s="1"/>
  <c r="G27" i="10"/>
  <c r="G23" i="10"/>
  <c r="L23" i="10" s="1"/>
  <c r="M23" i="10" s="1"/>
  <c r="G28" i="10"/>
  <c r="L28" i="10" s="1"/>
  <c r="M28" i="10" s="1"/>
  <c r="G24" i="10"/>
  <c r="L24" i="10" s="1"/>
  <c r="M24" i="10" s="1"/>
  <c r="G21" i="10"/>
  <c r="L21" i="10" s="1"/>
  <c r="G22" i="10"/>
  <c r="L22" i="10" s="1"/>
  <c r="M22" i="10" s="1"/>
  <c r="G25" i="10"/>
  <c r="G26" i="10"/>
  <c r="L26" i="10" s="1"/>
  <c r="M26" i="10" s="1"/>
  <c r="L27" i="10"/>
  <c r="I27" i="8"/>
  <c r="I28" i="8" s="1"/>
  <c r="I29" i="8" s="1"/>
  <c r="I30" i="8" s="1"/>
  <c r="G13" i="6"/>
  <c r="L13" i="6" s="1"/>
  <c r="M13" i="6" s="1"/>
  <c r="G9" i="6"/>
  <c r="L9" i="6" s="1"/>
  <c r="M9" i="6" s="1"/>
  <c r="R15" i="4"/>
  <c r="G10" i="6"/>
  <c r="L10" i="6" s="1"/>
  <c r="M10" i="6" s="1"/>
  <c r="G6" i="6"/>
  <c r="L6" i="6" s="1"/>
  <c r="M6" i="6" s="1"/>
  <c r="G11" i="6"/>
  <c r="L11" i="6" s="1"/>
  <c r="M11" i="6" s="1"/>
  <c r="G7" i="6"/>
  <c r="L7" i="6" s="1"/>
  <c r="M7" i="6" s="1"/>
  <c r="G12" i="6"/>
  <c r="L12" i="6" s="1"/>
  <c r="M12" i="6" s="1"/>
  <c r="G8" i="6"/>
  <c r="L8" i="6" s="1"/>
  <c r="M8" i="6" s="1"/>
  <c r="H26" i="10"/>
  <c r="H22" i="10"/>
  <c r="H27" i="10"/>
  <c r="H23" i="10"/>
  <c r="H28" i="10"/>
  <c r="H24" i="10"/>
  <c r="H25" i="10"/>
  <c r="H21" i="10"/>
  <c r="N12" i="6" l="1"/>
  <c r="N23" i="10"/>
  <c r="N22" i="10"/>
  <c r="E31" i="8"/>
  <c r="N9" i="6"/>
  <c r="N24" i="10"/>
  <c r="N26" i="10"/>
  <c r="N8" i="6"/>
  <c r="P8" i="6" s="1"/>
  <c r="N13" i="6"/>
  <c r="N28" i="10"/>
  <c r="O9" i="7"/>
  <c r="R9" i="7" s="1"/>
  <c r="Q9" i="7"/>
  <c r="O10" i="7"/>
  <c r="R10" i="7" s="1"/>
  <c r="Q10" i="7"/>
  <c r="H8" i="8"/>
  <c r="H9" i="8" s="1"/>
  <c r="H10" i="8" s="1"/>
  <c r="H11" i="8" s="1"/>
  <c r="O12" i="7"/>
  <c r="R12" i="7" s="1"/>
  <c r="I8" i="8"/>
  <c r="F37" i="10"/>
  <c r="F38" i="10" s="1"/>
  <c r="F39" i="10" s="1"/>
  <c r="F40" i="10" s="1"/>
  <c r="O6" i="7"/>
  <c r="R6" i="7" s="1"/>
  <c r="P11" i="6"/>
  <c r="N11" i="6"/>
  <c r="M27" i="10"/>
  <c r="J8" i="8"/>
  <c r="G37" i="10"/>
  <c r="O7" i="7"/>
  <c r="R7" i="7" s="1"/>
  <c r="O8" i="7"/>
  <c r="R8" i="7" s="1"/>
  <c r="P7" i="6"/>
  <c r="N7" i="6"/>
  <c r="N6" i="6"/>
  <c r="M25" i="10"/>
  <c r="H38" i="10"/>
  <c r="N10" i="6"/>
  <c r="Z20" i="9"/>
  <c r="U20" i="9"/>
  <c r="P21" i="9" s="1"/>
  <c r="I37" i="10"/>
  <c r="I38" i="10" s="1"/>
  <c r="I39" i="10" s="1"/>
  <c r="O13" i="7"/>
  <c r="R13" i="7" s="1"/>
  <c r="Q13" i="7"/>
  <c r="P11" i="7"/>
  <c r="N11" i="7"/>
  <c r="P12" i="7"/>
  <c r="J37" i="10"/>
  <c r="P13" i="7"/>
  <c r="E17" i="9"/>
  <c r="F22" i="9"/>
  <c r="M21" i="10"/>
  <c r="J28" i="8"/>
  <c r="J29" i="8" s="1"/>
  <c r="J30" i="8" s="1"/>
  <c r="B33" i="8" s="1"/>
  <c r="C11" i="9" s="1"/>
  <c r="D11" i="9" s="1"/>
  <c r="P9" i="7"/>
  <c r="P10" i="7"/>
  <c r="O11" i="6" l="1"/>
  <c r="R11" i="6" s="1"/>
  <c r="D57" i="9"/>
  <c r="B16" i="8"/>
  <c r="O13" i="6"/>
  <c r="R13" i="6" s="1"/>
  <c r="Q13" i="6"/>
  <c r="O9" i="6"/>
  <c r="R9" i="6" s="1"/>
  <c r="Q9" i="6"/>
  <c r="W13" i="7"/>
  <c r="V13" i="7"/>
  <c r="V10" i="7"/>
  <c r="W10" i="7"/>
  <c r="Q8" i="7"/>
  <c r="O22" i="10"/>
  <c r="R22" i="10" s="1"/>
  <c r="Q22" i="10"/>
  <c r="J38" i="10"/>
  <c r="J39" i="10" s="1"/>
  <c r="J40" i="10" s="1"/>
  <c r="K22" i="9"/>
  <c r="F23" i="9" s="1"/>
  <c r="J17" i="9"/>
  <c r="E18" i="9" s="1"/>
  <c r="W9" i="7"/>
  <c r="V9" i="7"/>
  <c r="Z21" i="9"/>
  <c r="U21" i="9"/>
  <c r="O8" i="6"/>
  <c r="R8" i="6" s="1"/>
  <c r="V12" i="7"/>
  <c r="W12" i="7"/>
  <c r="Q10" i="6"/>
  <c r="O10" i="6"/>
  <c r="R10" i="6" s="1"/>
  <c r="N21" i="10"/>
  <c r="P21" i="10"/>
  <c r="O11" i="7"/>
  <c r="R11" i="7" s="1"/>
  <c r="Q11" i="7"/>
  <c r="P10" i="6"/>
  <c r="Q7" i="7"/>
  <c r="Q6" i="7"/>
  <c r="O26" i="10"/>
  <c r="R26" i="10" s="1"/>
  <c r="P22" i="10"/>
  <c r="W11" i="7"/>
  <c r="V11" i="7"/>
  <c r="N25" i="10"/>
  <c r="P25" i="10"/>
  <c r="P26" i="10"/>
  <c r="O23" i="10"/>
  <c r="R23" i="10" s="1"/>
  <c r="Q23" i="10"/>
  <c r="O6" i="6"/>
  <c r="R6" i="6" s="1"/>
  <c r="G38" i="10"/>
  <c r="G39" i="10" s="1"/>
  <c r="G40" i="10" s="1"/>
  <c r="I9" i="8"/>
  <c r="I10" i="8" s="1"/>
  <c r="I11" i="8" s="1"/>
  <c r="O28" i="10"/>
  <c r="R28" i="10" s="1"/>
  <c r="O24" i="10"/>
  <c r="R24" i="10" s="1"/>
  <c r="P23" i="10"/>
  <c r="P6" i="6"/>
  <c r="J9" i="8"/>
  <c r="J10" i="8" s="1"/>
  <c r="J11" i="8" s="1"/>
  <c r="P28" i="10"/>
  <c r="P24" i="10"/>
  <c r="Q12" i="6"/>
  <c r="O12" i="6"/>
  <c r="R12" i="6" s="1"/>
  <c r="O7" i="6"/>
  <c r="R7" i="6" s="1"/>
  <c r="N27" i="10"/>
  <c r="Q12" i="7"/>
  <c r="P13" i="6"/>
  <c r="P9" i="6"/>
  <c r="P12" i="6"/>
  <c r="O27" i="10" l="1"/>
  <c r="R27" i="10" s="1"/>
  <c r="V7" i="7"/>
  <c r="W7" i="7"/>
  <c r="E16" i="8"/>
  <c r="C16" i="8"/>
  <c r="Q6" i="6"/>
  <c r="Q11" i="6"/>
  <c r="P27" i="10"/>
  <c r="W6" i="6"/>
  <c r="V6" i="6"/>
  <c r="H39" i="10"/>
  <c r="W23" i="10"/>
  <c r="V23" i="10"/>
  <c r="W12" i="6"/>
  <c r="V12" i="6"/>
  <c r="Q24" i="10"/>
  <c r="V22" i="10"/>
  <c r="W22" i="10"/>
  <c r="Q8" i="6"/>
  <c r="W26" i="10"/>
  <c r="V26" i="10"/>
  <c r="P22" i="9"/>
  <c r="K23" i="9" s="1"/>
  <c r="F24" i="9" s="1"/>
  <c r="O17" i="9"/>
  <c r="J18" i="9" s="1"/>
  <c r="E19" i="9" s="1"/>
  <c r="D59" i="9"/>
  <c r="B18" i="8"/>
  <c r="Q7" i="6"/>
  <c r="W9" i="6"/>
  <c r="V9" i="6"/>
  <c r="W13" i="6"/>
  <c r="V13" i="6"/>
  <c r="W24" i="10"/>
  <c r="V24" i="10"/>
  <c r="Q28" i="10"/>
  <c r="Q26" i="10"/>
  <c r="O21" i="10"/>
  <c r="R21" i="10" s="1"/>
  <c r="T17" i="9"/>
  <c r="O18" i="9" s="1"/>
  <c r="J19" i="9" s="1"/>
  <c r="E20" i="9" s="1"/>
  <c r="Y17" i="9"/>
  <c r="Z22" i="9"/>
  <c r="U22" i="9"/>
  <c r="P23" i="9" s="1"/>
  <c r="K24" i="9" s="1"/>
  <c r="F25" i="9" s="1"/>
  <c r="W10" i="6"/>
  <c r="V10" i="6"/>
  <c r="W28" i="10"/>
  <c r="V28" i="10"/>
  <c r="D58" i="9"/>
  <c r="B17" i="8"/>
  <c r="B19" i="8" s="1"/>
  <c r="E12" i="8"/>
  <c r="O25" i="10"/>
  <c r="R25" i="10" s="1"/>
  <c r="V6" i="7"/>
  <c r="W6" i="7"/>
  <c r="V8" i="7"/>
  <c r="W8" i="7"/>
  <c r="C19" i="8" l="1"/>
  <c r="B14" i="2"/>
  <c r="B15" i="2" s="1"/>
  <c r="C48" i="10" s="1"/>
  <c r="Q25" i="10"/>
  <c r="W7" i="6"/>
  <c r="W14" i="6" s="1"/>
  <c r="B13" i="2" s="1"/>
  <c r="C49" i="10" s="1"/>
  <c r="V7" i="6"/>
  <c r="V14" i="6" s="1"/>
  <c r="B5" i="2" s="1"/>
  <c r="U23" i="9"/>
  <c r="P24" i="9" s="1"/>
  <c r="K25" i="9" s="1"/>
  <c r="F26" i="9" s="1"/>
  <c r="Z23" i="9"/>
  <c r="C18" i="8"/>
  <c r="E18" i="8"/>
  <c r="W8" i="6"/>
  <c r="V8" i="6"/>
  <c r="H40" i="10"/>
  <c r="I40" i="10"/>
  <c r="E17" i="8"/>
  <c r="E20" i="8" s="1"/>
  <c r="B6" i="2" s="1"/>
  <c r="C17" i="8"/>
  <c r="T18" i="9"/>
  <c r="O19" i="9" s="1"/>
  <c r="J20" i="9" s="1"/>
  <c r="E21" i="9" s="1"/>
  <c r="Y18" i="9"/>
  <c r="W27" i="10"/>
  <c r="V27" i="10"/>
  <c r="W14" i="7"/>
  <c r="Q21" i="10"/>
  <c r="V11" i="6"/>
  <c r="W11" i="6"/>
  <c r="V14" i="7"/>
  <c r="C12" i="9" s="1"/>
  <c r="D12" i="9" s="1"/>
  <c r="Q27" i="10"/>
  <c r="C45" i="10" l="1"/>
  <c r="D6" i="2"/>
  <c r="C44" i="10"/>
  <c r="D5" i="2"/>
  <c r="V21" i="10"/>
  <c r="V29" i="10" s="1"/>
  <c r="B44" i="10" s="1"/>
  <c r="W21" i="10"/>
  <c r="W25" i="10"/>
  <c r="V25" i="10"/>
  <c r="B48" i="10"/>
  <c r="D48" i="10" s="1"/>
  <c r="B45" i="10"/>
  <c r="D45" i="10" s="1"/>
  <c r="E41" i="10"/>
  <c r="U24" i="9"/>
  <c r="P25" i="9" s="1"/>
  <c r="K26" i="9" s="1"/>
  <c r="F27" i="9" s="1"/>
  <c r="Z24" i="9"/>
  <c r="T19" i="9"/>
  <c r="O20" i="9" s="1"/>
  <c r="J21" i="9" s="1"/>
  <c r="Y19" i="9"/>
  <c r="U25" i="9" l="1"/>
  <c r="P26" i="9" s="1"/>
  <c r="K27" i="9" s="1"/>
  <c r="F28" i="9" s="1"/>
  <c r="Z25" i="9"/>
  <c r="W29" i="10"/>
  <c r="B49" i="10" s="1"/>
  <c r="D49" i="10" s="1"/>
  <c r="D17" i="9"/>
  <c r="E22" i="9"/>
  <c r="D44" i="10"/>
  <c r="Y20" i="9"/>
  <c r="T20" i="9"/>
  <c r="O21" i="9" s="1"/>
  <c r="Y21" i="9" l="1"/>
  <c r="T21" i="9"/>
  <c r="U26" i="9"/>
  <c r="P27" i="9" s="1"/>
  <c r="K28" i="9" s="1"/>
  <c r="F29" i="9" s="1"/>
  <c r="Z26" i="9"/>
  <c r="I17" i="9"/>
  <c r="J22" i="9"/>
  <c r="E23" i="9" s="1"/>
  <c r="D18" i="9" l="1"/>
  <c r="Z27" i="9"/>
  <c r="U27" i="9"/>
  <c r="P28" i="9" s="1"/>
  <c r="K29" i="9" s="1"/>
  <c r="F30" i="9" s="1"/>
  <c r="N17" i="9"/>
  <c r="O22" i="9"/>
  <c r="J23" i="9" s="1"/>
  <c r="E24" i="9" s="1"/>
  <c r="Y22" i="9"/>
  <c r="S17" i="9"/>
  <c r="N18" i="9" s="1"/>
  <c r="T22" i="9"/>
  <c r="O23" i="9" s="1"/>
  <c r="J24" i="9" s="1"/>
  <c r="E25" i="9" s="1"/>
  <c r="X17" i="9"/>
  <c r="Z28" i="9" l="1"/>
  <c r="U28" i="9"/>
  <c r="P29" i="9" s="1"/>
  <c r="K30" i="9" s="1"/>
  <c r="F31" i="9" s="1"/>
  <c r="Y23" i="9"/>
  <c r="T23" i="9"/>
  <c r="O24" i="9" s="1"/>
  <c r="J25" i="9" s="1"/>
  <c r="E26" i="9" s="1"/>
  <c r="I18" i="9"/>
  <c r="D19" i="9" s="1"/>
  <c r="S18" i="9"/>
  <c r="N19" i="9" s="1"/>
  <c r="X18" i="9"/>
  <c r="S19" i="9" l="1"/>
  <c r="X19" i="9"/>
  <c r="T24" i="9"/>
  <c r="Y24" i="9"/>
  <c r="U29" i="9"/>
  <c r="P30" i="9" s="1"/>
  <c r="K31" i="9" s="1"/>
  <c r="F32" i="9" s="1"/>
  <c r="Z29" i="9"/>
  <c r="I19" i="9"/>
  <c r="D20" i="9" s="1"/>
  <c r="T25" i="9" l="1"/>
  <c r="Y25" i="9"/>
  <c r="I20" i="9"/>
  <c r="D21" i="9" s="1"/>
  <c r="U30" i="9"/>
  <c r="P31" i="9" s="1"/>
  <c r="K32" i="9" s="1"/>
  <c r="F33" i="9" s="1"/>
  <c r="Z30" i="9"/>
  <c r="O25" i="9"/>
  <c r="J26" i="9" s="1"/>
  <c r="E27" i="9" s="1"/>
  <c r="S20" i="9"/>
  <c r="N21" i="9" s="1"/>
  <c r="X20" i="9"/>
  <c r="N20" i="9"/>
  <c r="X21" i="9" l="1"/>
  <c r="S21" i="9"/>
  <c r="H17" i="9"/>
  <c r="T26" i="9"/>
  <c r="Y26" i="9"/>
  <c r="U31" i="9"/>
  <c r="P32" i="9" s="1"/>
  <c r="K33" i="9" s="1"/>
  <c r="F34" i="9" s="1"/>
  <c r="Z31" i="9"/>
  <c r="I21" i="9"/>
  <c r="O26" i="9"/>
  <c r="J27" i="9" s="1"/>
  <c r="E28" i="9" s="1"/>
  <c r="T27" i="9" l="1"/>
  <c r="Y27" i="9"/>
  <c r="U32" i="9"/>
  <c r="P33" i="9" s="1"/>
  <c r="K34" i="9" s="1"/>
  <c r="F35" i="9" s="1"/>
  <c r="Z32" i="9"/>
  <c r="O27" i="9"/>
  <c r="J28" i="9" s="1"/>
  <c r="E29" i="9" s="1"/>
  <c r="M17" i="9"/>
  <c r="N22" i="9"/>
  <c r="I23" i="9" s="1"/>
  <c r="C18" i="9"/>
  <c r="I22" i="9"/>
  <c r="C17" i="9"/>
  <c r="D22" i="9"/>
  <c r="X22" i="9"/>
  <c r="W17" i="9"/>
  <c r="S22" i="9"/>
  <c r="R17" i="9"/>
  <c r="M18" i="9" s="1"/>
  <c r="H18" i="9" l="1"/>
  <c r="R18" i="9"/>
  <c r="W18" i="9"/>
  <c r="N23" i="9"/>
  <c r="H19" i="9" s="1"/>
  <c r="X23" i="9"/>
  <c r="S23" i="9"/>
  <c r="N24" i="9" s="1"/>
  <c r="Z33" i="9"/>
  <c r="U33" i="9"/>
  <c r="P34" i="9" s="1"/>
  <c r="K35" i="9" s="1"/>
  <c r="F36" i="9" s="1"/>
  <c r="Y28" i="9"/>
  <c r="T28" i="9"/>
  <c r="D23" i="9"/>
  <c r="D24" i="9" s="1"/>
  <c r="O28" i="9"/>
  <c r="J29" i="9" s="1"/>
  <c r="E30" i="9" s="1"/>
  <c r="X24" i="9" l="1"/>
  <c r="S24" i="9"/>
  <c r="M19" i="9"/>
  <c r="H20" i="9" s="1"/>
  <c r="R19" i="9"/>
  <c r="M20" i="9" s="1"/>
  <c r="W19" i="9"/>
  <c r="O29" i="9"/>
  <c r="J30" i="9" s="1"/>
  <c r="E31" i="9" s="1"/>
  <c r="T29" i="9"/>
  <c r="Y29" i="9"/>
  <c r="U34" i="9"/>
  <c r="P35" i="9" s="1"/>
  <c r="K36" i="9" s="1"/>
  <c r="F37" i="9" s="1"/>
  <c r="Z34" i="9"/>
  <c r="I24" i="9"/>
  <c r="D25" i="9" s="1"/>
  <c r="C19" i="9"/>
  <c r="C20" i="9" s="1"/>
  <c r="R20" i="9" l="1"/>
  <c r="W20" i="9"/>
  <c r="Z35" i="9"/>
  <c r="U35" i="9"/>
  <c r="P36" i="9" s="1"/>
  <c r="K37" i="9" s="1"/>
  <c r="F38" i="9" s="1"/>
  <c r="I25" i="9"/>
  <c r="D26" i="9" s="1"/>
  <c r="N25" i="9"/>
  <c r="I26" i="9" s="1"/>
  <c r="D27" i="9" s="1"/>
  <c r="S25" i="9"/>
  <c r="X25" i="9"/>
  <c r="T30" i="9"/>
  <c r="Y30" i="9"/>
  <c r="O30" i="9"/>
  <c r="J31" i="9" s="1"/>
  <c r="E32" i="9" s="1"/>
  <c r="O31" i="9" l="1"/>
  <c r="J32" i="9" s="1"/>
  <c r="E33" i="9" s="1"/>
  <c r="U36" i="9"/>
  <c r="P37" i="9" s="1"/>
  <c r="K38" i="9" s="1"/>
  <c r="F39" i="9" s="1"/>
  <c r="Z36" i="9"/>
  <c r="C21" i="9"/>
  <c r="R21" i="9"/>
  <c r="W21" i="9"/>
  <c r="T31" i="9"/>
  <c r="O32" i="9" s="1"/>
  <c r="J33" i="9" s="1"/>
  <c r="E34" i="9" s="1"/>
  <c r="Y31" i="9"/>
  <c r="H21" i="9"/>
  <c r="S26" i="9"/>
  <c r="X26" i="9"/>
  <c r="N26" i="9"/>
  <c r="I27" i="9" s="1"/>
  <c r="D28" i="9" s="1"/>
  <c r="M21" i="9"/>
  <c r="V17" i="9" l="1"/>
  <c r="W22" i="9"/>
  <c r="Q17" i="9"/>
  <c r="L18" i="9" s="1"/>
  <c r="R22" i="9"/>
  <c r="H22" i="9"/>
  <c r="G17" i="9"/>
  <c r="T32" i="9"/>
  <c r="O33" i="9" s="1"/>
  <c r="J34" i="9" s="1"/>
  <c r="E35" i="9" s="1"/>
  <c r="Y32" i="9"/>
  <c r="L17" i="9"/>
  <c r="M22" i="9"/>
  <c r="S27" i="9"/>
  <c r="X27" i="9"/>
  <c r="Z37" i="9"/>
  <c r="U37" i="9"/>
  <c r="P38" i="9" s="1"/>
  <c r="K39" i="9" s="1"/>
  <c r="F40" i="9" s="1"/>
  <c r="N27" i="9"/>
  <c r="I28" i="9" s="1"/>
  <c r="D29" i="9" s="1"/>
  <c r="C22" i="9"/>
  <c r="B17" i="9"/>
  <c r="T33" i="9" l="1"/>
  <c r="Y33" i="9"/>
  <c r="U38" i="9"/>
  <c r="P39" i="9" s="1"/>
  <c r="K40" i="9" s="1"/>
  <c r="F41" i="9" s="1"/>
  <c r="Z38" i="9"/>
  <c r="S28" i="9"/>
  <c r="N29" i="9" s="1"/>
  <c r="X28" i="9"/>
  <c r="C23" i="9"/>
  <c r="N28" i="9"/>
  <c r="I29" i="9" s="1"/>
  <c r="D30" i="9" s="1"/>
  <c r="H23" i="9"/>
  <c r="W23" i="9"/>
  <c r="R23" i="9"/>
  <c r="B18" i="9"/>
  <c r="M23" i="9"/>
  <c r="H24" i="9" s="1"/>
  <c r="G18" i="9"/>
  <c r="B19" i="9" s="1"/>
  <c r="V18" i="9"/>
  <c r="Q18" i="9"/>
  <c r="Q19" i="9" l="1"/>
  <c r="V19" i="9"/>
  <c r="I30" i="9"/>
  <c r="D31" i="9" s="1"/>
  <c r="G19" i="9"/>
  <c r="B20" i="9" s="1"/>
  <c r="Z39" i="9"/>
  <c r="U39" i="9"/>
  <c r="P40" i="9" s="1"/>
  <c r="K41" i="9" s="1"/>
  <c r="F42" i="9" s="1"/>
  <c r="C25" i="9"/>
  <c r="M24" i="9"/>
  <c r="H25" i="9" s="1"/>
  <c r="C26" i="9" s="1"/>
  <c r="W24" i="9"/>
  <c r="R24" i="9"/>
  <c r="C24" i="9"/>
  <c r="Y34" i="9"/>
  <c r="T34" i="9"/>
  <c r="O35" i="9" s="1"/>
  <c r="J36" i="9" s="1"/>
  <c r="E37" i="9" s="1"/>
  <c r="X29" i="9"/>
  <c r="S29" i="9"/>
  <c r="N30" i="9" s="1"/>
  <c r="I31" i="9" s="1"/>
  <c r="D32" i="9" s="1"/>
  <c r="L19" i="9"/>
  <c r="G20" i="9" s="1"/>
  <c r="B21" i="9" s="1"/>
  <c r="O34" i="9"/>
  <c r="J35" i="9" s="1"/>
  <c r="E36" i="9" s="1"/>
  <c r="T35" i="9" l="1"/>
  <c r="Y35" i="9"/>
  <c r="S30" i="9"/>
  <c r="N31" i="9" s="1"/>
  <c r="X30" i="9"/>
  <c r="M25" i="9"/>
  <c r="H26" i="9" s="1"/>
  <c r="C27" i="9" s="1"/>
  <c r="Q20" i="9"/>
  <c r="L21" i="9" s="1"/>
  <c r="V20" i="9"/>
  <c r="U40" i="9"/>
  <c r="P41" i="9" s="1"/>
  <c r="K42" i="9" s="1"/>
  <c r="F43" i="9" s="1"/>
  <c r="Z40" i="9"/>
  <c r="W25" i="9"/>
  <c r="R25" i="9"/>
  <c r="L20" i="9"/>
  <c r="G21" i="9" s="1"/>
  <c r="B22" i="9" s="1"/>
  <c r="Q21" i="9" l="1"/>
  <c r="V21" i="9"/>
  <c r="S31" i="9"/>
  <c r="X31" i="9"/>
  <c r="R26" i="9"/>
  <c r="M27" i="9" s="1"/>
  <c r="W26" i="9"/>
  <c r="Y36" i="9"/>
  <c r="T36" i="9"/>
  <c r="M26" i="9"/>
  <c r="H27" i="9" s="1"/>
  <c r="Z41" i="9"/>
  <c r="U41" i="9"/>
  <c r="P42" i="9" s="1"/>
  <c r="K43" i="9" s="1"/>
  <c r="F44" i="9" s="1"/>
  <c r="O36" i="9"/>
  <c r="J37" i="9" s="1"/>
  <c r="E38" i="9" s="1"/>
  <c r="R27" i="9" l="1"/>
  <c r="W27" i="9"/>
  <c r="Z42" i="9"/>
  <c r="U42" i="9"/>
  <c r="P43" i="9" s="1"/>
  <c r="K44" i="9" s="1"/>
  <c r="F45" i="9" s="1"/>
  <c r="Q22" i="9"/>
  <c r="L23" i="9" s="1"/>
  <c r="V22" i="9"/>
  <c r="S32" i="9"/>
  <c r="N33" i="9" s="1"/>
  <c r="X32" i="9"/>
  <c r="L22" i="9"/>
  <c r="G23" i="9" s="1"/>
  <c r="N32" i="9"/>
  <c r="I32" i="9"/>
  <c r="D33" i="9" s="1"/>
  <c r="O37" i="9"/>
  <c r="J38" i="9" s="1"/>
  <c r="E39" i="9" s="1"/>
  <c r="T37" i="9"/>
  <c r="O38" i="9" s="1"/>
  <c r="J39" i="9" s="1"/>
  <c r="E40" i="9" s="1"/>
  <c r="Y37" i="9"/>
  <c r="G22" i="9"/>
  <c r="B23" i="9" s="1"/>
  <c r="Y38" i="9" l="1"/>
  <c r="T38" i="9"/>
  <c r="V23" i="9"/>
  <c r="Q23" i="9"/>
  <c r="I33" i="9"/>
  <c r="D34" i="9" s="1"/>
  <c r="Z43" i="9"/>
  <c r="U43" i="9"/>
  <c r="P44" i="9" s="1"/>
  <c r="K45" i="9" s="1"/>
  <c r="F46" i="9" s="1"/>
  <c r="H28" i="9"/>
  <c r="C28" i="9"/>
  <c r="B24" i="9" s="1"/>
  <c r="R28" i="9"/>
  <c r="W28" i="9"/>
  <c r="S33" i="9"/>
  <c r="N34" i="9" s="1"/>
  <c r="X33" i="9"/>
  <c r="M28" i="9"/>
  <c r="G24" i="9" s="1"/>
  <c r="U44" i="9" l="1"/>
  <c r="P45" i="9" s="1"/>
  <c r="K46" i="9" s="1"/>
  <c r="F47" i="9" s="1"/>
  <c r="Z44" i="9"/>
  <c r="S34" i="9"/>
  <c r="X34" i="9"/>
  <c r="W29" i="9"/>
  <c r="R29" i="9"/>
  <c r="M30" i="9" s="1"/>
  <c r="I35" i="9"/>
  <c r="D36" i="9" s="1"/>
  <c r="L24" i="9"/>
  <c r="O39" i="9"/>
  <c r="J40" i="9" s="1"/>
  <c r="E41" i="9" s="1"/>
  <c r="M29" i="9"/>
  <c r="V24" i="9"/>
  <c r="Q24" i="9"/>
  <c r="T39" i="9"/>
  <c r="O40" i="9" s="1"/>
  <c r="J41" i="9" s="1"/>
  <c r="E42" i="9" s="1"/>
  <c r="Y39" i="9"/>
  <c r="H29" i="9"/>
  <c r="C30" i="9" s="1"/>
  <c r="C29" i="9"/>
  <c r="I34" i="9"/>
  <c r="D35" i="9" s="1"/>
  <c r="X35" i="9" l="1"/>
  <c r="S35" i="9"/>
  <c r="N35" i="9"/>
  <c r="I36" i="9" s="1"/>
  <c r="D37" i="9" s="1"/>
  <c r="Y40" i="9"/>
  <c r="T40" i="9"/>
  <c r="O41" i="9" s="1"/>
  <c r="J42" i="9" s="1"/>
  <c r="E43" i="9" s="1"/>
  <c r="W30" i="9"/>
  <c r="R30" i="9"/>
  <c r="M31" i="9" s="1"/>
  <c r="V25" i="9"/>
  <c r="Q25" i="9"/>
  <c r="H30" i="9"/>
  <c r="C31" i="9" s="1"/>
  <c r="Z45" i="9"/>
  <c r="U45" i="9"/>
  <c r="P46" i="9" s="1"/>
  <c r="K47" i="9" s="1"/>
  <c r="F48" i="9" s="1"/>
  <c r="L25" i="9"/>
  <c r="G25" i="9"/>
  <c r="B25" i="9"/>
  <c r="R31" i="9" l="1"/>
  <c r="W31" i="9"/>
  <c r="B26" i="9"/>
  <c r="C57" i="9" s="1"/>
  <c r="Y41" i="9"/>
  <c r="T41" i="9"/>
  <c r="H31" i="9"/>
  <c r="C32" i="9" s="1"/>
  <c r="U46" i="9"/>
  <c r="P47" i="9" s="1"/>
  <c r="K48" i="9" s="1"/>
  <c r="F49" i="9" s="1"/>
  <c r="Z46" i="9"/>
  <c r="L26" i="9"/>
  <c r="N36" i="9"/>
  <c r="I37" i="9" s="1"/>
  <c r="D38" i="9" s="1"/>
  <c r="G26" i="9"/>
  <c r="V26" i="9"/>
  <c r="Q26" i="9"/>
  <c r="L27" i="9" s="1"/>
  <c r="S36" i="9"/>
  <c r="N37" i="9" s="1"/>
  <c r="X36" i="9"/>
  <c r="S37" i="9" l="1"/>
  <c r="X37" i="9"/>
  <c r="Y42" i="9"/>
  <c r="T42" i="9"/>
  <c r="O43" i="9" s="1"/>
  <c r="J44" i="9" s="1"/>
  <c r="E45" i="9" s="1"/>
  <c r="I38" i="9"/>
  <c r="D39" i="9" s="1"/>
  <c r="Q27" i="9"/>
  <c r="L28" i="9" s="1"/>
  <c r="V27" i="9"/>
  <c r="B27" i="9"/>
  <c r="W32" i="9"/>
  <c r="R32" i="9"/>
  <c r="O42" i="9"/>
  <c r="J43" i="9" s="1"/>
  <c r="E44" i="9" s="1"/>
  <c r="M32" i="9"/>
  <c r="H33" i="9" s="1"/>
  <c r="C34" i="9" s="1"/>
  <c r="E57" i="9"/>
  <c r="B16" i="2"/>
  <c r="G27" i="9"/>
  <c r="G28" i="9" s="1"/>
  <c r="Z47" i="9"/>
  <c r="U47" i="9"/>
  <c r="P48" i="9" s="1"/>
  <c r="K49" i="9" s="1"/>
  <c r="F50" i="9" s="1"/>
  <c r="H32" i="9"/>
  <c r="C33" i="9" s="1"/>
  <c r="Q28" i="9" l="1"/>
  <c r="V28" i="9"/>
  <c r="T43" i="9"/>
  <c r="O44" i="9" s="1"/>
  <c r="J45" i="9" s="1"/>
  <c r="E46" i="9" s="1"/>
  <c r="Y43" i="9"/>
  <c r="M33" i="9"/>
  <c r="G29" i="9"/>
  <c r="Z48" i="9"/>
  <c r="U48" i="9"/>
  <c r="P49" i="9" s="1"/>
  <c r="K50" i="9" s="1"/>
  <c r="F51" i="9" s="1"/>
  <c r="R33" i="9"/>
  <c r="W33" i="9"/>
  <c r="X38" i="9"/>
  <c r="S38" i="9"/>
  <c r="B28" i="9"/>
  <c r="B29" i="9" s="1"/>
  <c r="N38" i="9"/>
  <c r="I39" i="9" s="1"/>
  <c r="D40" i="9" s="1"/>
  <c r="S39" i="9" l="1"/>
  <c r="X39" i="9"/>
  <c r="H34" i="9"/>
  <c r="C35" i="9" s="1"/>
  <c r="R34" i="9"/>
  <c r="M35" i="9" s="1"/>
  <c r="W34" i="9"/>
  <c r="V29" i="9"/>
  <c r="Q29" i="9"/>
  <c r="L30" i="9" s="1"/>
  <c r="G31" i="9" s="1"/>
  <c r="N39" i="9"/>
  <c r="I40" i="9" s="1"/>
  <c r="D41" i="9" s="1"/>
  <c r="Y44" i="9"/>
  <c r="T44" i="9"/>
  <c r="M34" i="9"/>
  <c r="H35" i="9" s="1"/>
  <c r="C36" i="9" s="1"/>
  <c r="L29" i="9"/>
  <c r="G30" i="9" s="1"/>
  <c r="Z49" i="9"/>
  <c r="U49" i="9"/>
  <c r="P50" i="9" s="1"/>
  <c r="K51" i="9" s="1"/>
  <c r="F52" i="9" s="1"/>
  <c r="V30" i="9" l="1"/>
  <c r="Q30" i="9"/>
  <c r="H36" i="9"/>
  <c r="O45" i="9"/>
  <c r="J46" i="9" s="1"/>
  <c r="E47" i="9" s="1"/>
  <c r="R35" i="9"/>
  <c r="M36" i="9" s="1"/>
  <c r="W35" i="9"/>
  <c r="Y45" i="9"/>
  <c r="T45" i="9"/>
  <c r="N40" i="9"/>
  <c r="Z50" i="9"/>
  <c r="U50" i="9"/>
  <c r="P51" i="9" s="1"/>
  <c r="K52" i="9" s="1"/>
  <c r="X40" i="9"/>
  <c r="S40" i="9"/>
  <c r="N41" i="9" s="1"/>
  <c r="B30" i="9"/>
  <c r="B31" i="9" s="1"/>
  <c r="C58" i="9" l="1"/>
  <c r="B32" i="9"/>
  <c r="Z51" i="9"/>
  <c r="U51" i="9"/>
  <c r="P52" i="9" s="1"/>
  <c r="L31" i="9"/>
  <c r="G32" i="9" s="1"/>
  <c r="W36" i="9"/>
  <c r="R36" i="9"/>
  <c r="X41" i="9"/>
  <c r="S41" i="9"/>
  <c r="O46" i="9"/>
  <c r="J47" i="9" s="1"/>
  <c r="E48" i="9" s="1"/>
  <c r="V31" i="9"/>
  <c r="Q31" i="9"/>
  <c r="L32" i="9" s="1"/>
  <c r="I41" i="9"/>
  <c r="D42" i="9" s="1"/>
  <c r="Y46" i="9"/>
  <c r="T46" i="9"/>
  <c r="W37" i="9" l="1"/>
  <c r="R37" i="9"/>
  <c r="Q32" i="9"/>
  <c r="L33" i="9" s="1"/>
  <c r="V32" i="9"/>
  <c r="I42" i="9"/>
  <c r="D43" i="9" s="1"/>
  <c r="N42" i="9"/>
  <c r="I43" i="9" s="1"/>
  <c r="H37" i="9"/>
  <c r="O47" i="9"/>
  <c r="J48" i="9" s="1"/>
  <c r="S42" i="9"/>
  <c r="X42" i="9"/>
  <c r="U52" i="9"/>
  <c r="Z52" i="9"/>
  <c r="C37" i="9"/>
  <c r="Y47" i="9"/>
  <c r="T47" i="9"/>
  <c r="M37" i="9"/>
  <c r="E58" i="9"/>
  <c r="C16" i="2"/>
  <c r="C38" i="9" l="1"/>
  <c r="V33" i="9"/>
  <c r="Q33" i="9"/>
  <c r="M38" i="9"/>
  <c r="D44" i="9"/>
  <c r="B33" i="9"/>
  <c r="X43" i="9"/>
  <c r="S43" i="9"/>
  <c r="N43" i="9"/>
  <c r="I44" i="9" s="1"/>
  <c r="R38" i="9"/>
  <c r="W38" i="9"/>
  <c r="T48" i="9"/>
  <c r="Y48" i="9"/>
  <c r="H38" i="9"/>
  <c r="C39" i="9" s="1"/>
  <c r="O48" i="9"/>
  <c r="G33" i="9"/>
  <c r="S44" i="9" l="1"/>
  <c r="X44" i="9"/>
  <c r="M39" i="9"/>
  <c r="L34" i="9"/>
  <c r="G35" i="9" s="1"/>
  <c r="W39" i="9"/>
  <c r="R39" i="9"/>
  <c r="M40" i="9" s="1"/>
  <c r="B34" i="9"/>
  <c r="Q34" i="9"/>
  <c r="L35" i="9" s="1"/>
  <c r="V34" i="9"/>
  <c r="H39" i="9"/>
  <c r="C40" i="9" s="1"/>
  <c r="G34" i="9"/>
  <c r="N44" i="9"/>
  <c r="R40" i="9" l="1"/>
  <c r="W40" i="9"/>
  <c r="H40" i="9"/>
  <c r="G36" i="9" s="1"/>
  <c r="B35" i="9"/>
  <c r="B36" i="9" s="1"/>
  <c r="C59" i="9" s="1"/>
  <c r="Q35" i="9"/>
  <c r="L36" i="9" s="1"/>
  <c r="V35" i="9"/>
  <c r="E59" i="9" l="1"/>
  <c r="E60" i="9" s="1"/>
  <c r="B7" i="2" s="1"/>
  <c r="D16" i="2"/>
  <c r="B46" i="10"/>
  <c r="Q36" i="9"/>
  <c r="V36" i="9"/>
  <c r="B47" i="10" l="1"/>
  <c r="C46" i="10"/>
  <c r="D46" i="10" s="1"/>
  <c r="D7" i="2"/>
  <c r="B8" i="2"/>
  <c r="D10" i="11" l="1"/>
  <c r="E10" i="11" s="1"/>
  <c r="D13" i="11"/>
  <c r="E13" i="11" s="1"/>
  <c r="D16" i="11"/>
  <c r="E16" i="11" s="1"/>
  <c r="D8" i="11"/>
  <c r="E8" i="11" s="1"/>
  <c r="C47" i="10"/>
  <c r="D47" i="10" s="1"/>
  <c r="D11" i="11"/>
  <c r="E11" i="11" s="1"/>
  <c r="D14" i="11"/>
  <c r="E14" i="11" s="1"/>
  <c r="D9" i="11"/>
  <c r="E9" i="11" s="1"/>
  <c r="D12" i="11"/>
  <c r="E12" i="11" s="1"/>
  <c r="D15" i="11"/>
  <c r="E15" i="11" s="1"/>
  <c r="D7" i="11"/>
  <c r="E7" i="11" s="1"/>
  <c r="D8" i="2"/>
</calcChain>
</file>

<file path=xl/comments1.xml><?xml version="1.0" encoding="utf-8"?>
<comments xmlns="http://schemas.openxmlformats.org/spreadsheetml/2006/main">
  <authors>
    <author>Unknown Author</author>
  </authors>
  <commentList>
    <comment ref="B5" authorId="0" shapeId="0">
      <text>
        <r>
          <rPr>
            <sz val="10"/>
            <rFont val="Arial"/>
            <family val="2"/>
          </rPr>
          <t>Wild has no pays of its own: it only substitutes. Wilds sit on reels 2-4 and a line run must start on reel 1, so a pure-wild run can never occur.</t>
        </r>
      </text>
    </comment>
    <comment ref="B6" authorId="0" shapeId="0">
      <text>
        <r>
          <rPr>
            <sz val="10"/>
            <rFont val="Arial"/>
            <family val="2"/>
          </rPr>
          <t>Scatter pays anywhere on the grid (see below) and triggers free spins; it never pays on a line.</t>
        </r>
      </text>
    </comment>
    <comment ref="A30" authorId="0" shapeId="0">
      <text>
        <r>
          <rPr>
            <sz val="10"/>
            <rFont val="Arial"/>
            <family val="2"/>
          </rPr>
          <t>The free-spins grid on sheet FreeSpins is laid out for +5 spins per retrigger, max 4 retriggers, multiplier 1-&gt;5 in steps of 1. Changing these needs the grid regenerated (scripts/make_excel_model.py).</t>
        </r>
      </text>
    </comment>
  </commentList>
</comments>
</file>

<file path=xl/sharedStrings.xml><?xml version="1.0" encoding="utf-8"?>
<sst xmlns="http://schemas.openxmlformats.org/spreadsheetml/2006/main" count="726" uniqueCount="199">
  <si>
    <t>Kastel Fortune — mathematical model (Excel edition)</t>
  </si>
  <si>
    <t>Original 5x3, 20-payline slot with free spins (multiplier ladder x1→x5, retriggers), max win 1,500x. Companion to the Python repository slot-math-portfolio.</t>
  </si>
  <si>
    <t>LEGEND:  blue text = hard-coded input you may edit  ·  black = formula  ·  green = link to another sheet  ·  grey fill = reference value computed in Python (full enumeration)  ·  yellow = key output.</t>
  </si>
  <si>
    <t>WHAT IS EXACT IN THIS WORKBOOK (pure formulas):</t>
  </si>
  <si>
    <t xml:space="preserve">  • Reel-strip counts and per-reel symbol probabilities (COUNTIF / COUNTA) — sheets Reels_Base, Reels_FS.</t>
  </si>
  <si>
    <t xml:space="preserve">  • Single-line expected value, closed form P(run&gt;=k) = p1(s)·Π(p_i(s)+p_i(W)) — exact because reel 1 carries no wild — sheets Lines_Base, Lines_FS.</t>
  </si>
  <si>
    <t xml:space="preserve">  • Scatter-count distribution (Poisson-binomial dynamic programme) — sheet Scatters.</t>
  </si>
  <si>
    <t xml:space="preserve">  • Free-spins expected payout: the absorbing Markov chain's mean recursion over states (spins left, multiplier, retriggers) — sheet FreeSpins.</t>
  </si>
  <si>
    <t xml:space="preserve">  • RTP = 20 × E[line] + scatter pays + Σ P(k scatters) × E[feature | k] — sheet Dashboard; the Python exact value is shown next to it with the difference (should be 0).</t>
  </si>
  <si>
    <t>WHAT NEEDS THE FULL ENUMERATION (Python, shown as grey reference values): hit frequency, variance / volatility, tail probabilities, max-win reachability, cap cost.</t>
  </si>
  <si>
    <t>Those depend on the joint law of 20 overlapping lines and are obtained by enumerating all 55,520,640 stop combinations (slotmath/exact.py).</t>
  </si>
  <si>
    <t>INPUTS TAKEN FROM PYTHON (sheet FreeSpins, blue): the four per-free-spin outcome-class probabilities and two class means, from the enumeration of the free-spin strips. Two cross-checks on that sheet recompute what can be recomputed here (retrigger probability, E[line win per free spin]) and must read OK.</t>
  </si>
  <si>
    <t>HOW TO USE:  edit a symbol in Reels_Base → every probability, the line EV and the RTP update.  Use sheet Scenario to try symbol-count changes without touching the strips.  Sheet Bets maps bet levels to exposure.</t>
  </si>
  <si>
    <t>ASSUMPTIONS:  reels stop uniformly and independently; lines pay left to right, best win per line; scatters pay anywhere and do not pay inside free spins; the multiplier climbs after a winning free spin and applies to the following spins; the max-win cap truncates the total win of a spin including its feature.</t>
  </si>
  <si>
    <t>Kastel Fortune — math model dashboard</t>
  </si>
  <si>
    <t>Green = linked from model sheets, black = formula, grey = reference values from the full enumeration in Python (not computable in Excel).</t>
  </si>
  <si>
    <t>RTP decomposition</t>
  </si>
  <si>
    <t>Excel (live)</t>
  </si>
  <si>
    <t>Python exact</t>
  </si>
  <si>
    <t>Difference</t>
  </si>
  <si>
    <t>Line RTP = paylines x E[one line]</t>
  </si>
  <si>
    <t>Scatter-pay RTP</t>
  </si>
  <si>
    <t>Free-spins RTP</t>
  </si>
  <si>
    <t>TOTAL RTP (uncapped)</t>
  </si>
  <si>
    <t>Max-win cap cost (needs the full distribution)</t>
  </si>
  <si>
    <t>RTP with cap (exact)</t>
  </si>
  <si>
    <t>Frequencies</t>
  </si>
  <si>
    <t>P(one line pays)</t>
  </si>
  <si>
    <t>Free-spins trigger probability</t>
  </si>
  <si>
    <t xml:space="preserve">  ... one feature every N spins</t>
  </si>
  <si>
    <t>E[feature payout | 3 / 4 / 5 scatters]</t>
  </si>
  <si>
    <t>Closed-form validity (no wild on reel 1)</t>
  </si>
  <si>
    <t>Needs the full grid enumeration (Python)</t>
  </si>
  <si>
    <t>Hit frequency (any win &gt; 0)</t>
  </si>
  <si>
    <t>Std dev of win per spin (x bet)</t>
  </si>
  <si>
    <t>Volatility index 1.96 x sigma</t>
  </si>
  <si>
    <t>E[feature | triggered] (x bet)</t>
  </si>
  <si>
    <t>Median feature payout (x bet)</t>
  </si>
  <si>
    <t>P(win &gt;= 100x)  1 in</t>
  </si>
  <si>
    <t>P(win &gt;= 1000x)  1 in</t>
  </si>
  <si>
    <t>P(max win 1,500x)  1 in</t>
  </si>
  <si>
    <t>Base-game stop combinations enumerated</t>
  </si>
  <si>
    <t>Free-spin stop combinations enumerated</t>
  </si>
  <si>
    <t>Monte-Carlo check: 100,000,000 spins (seed 2024): RTP 96.1923% +/- 0.1480 pp (95% CI), hit 34.815%, sigma 7.5503 — exact value inside the interval (z = -0.13).</t>
  </si>
  <si>
    <t>Kastel Fortune — paytable and game parameters</t>
  </si>
  <si>
    <t>Pays in multiples of the TOTAL bet. Blue = input. Line pays left to right from reel 1; wild substitutes for all but the scatter.</t>
  </si>
  <si>
    <t>Symbol</t>
  </si>
  <si>
    <t>Name</t>
  </si>
  <si>
    <t>3 of a kind</t>
  </si>
  <si>
    <t>4 of a kind</t>
  </si>
  <si>
    <t>5 of a kind</t>
  </si>
  <si>
    <t>W</t>
  </si>
  <si>
    <t>Wild (zlatni ključ)</t>
  </si>
  <si>
    <t>S</t>
  </si>
  <si>
    <t>Scatter (grb grada)</t>
  </si>
  <si>
    <t>H1</t>
  </si>
  <si>
    <t>Kastel (tvrđava)</t>
  </si>
  <si>
    <t>H2</t>
  </si>
  <si>
    <t>Vrbas</t>
  </si>
  <si>
    <t>H3</t>
  </si>
  <si>
    <t>Dajak čamac</t>
  </si>
  <si>
    <t>H4</t>
  </si>
  <si>
    <t>Lipa</t>
  </si>
  <si>
    <t>A</t>
  </si>
  <si>
    <t>K</t>
  </si>
  <si>
    <t>Q</t>
  </si>
  <si>
    <t>J</t>
  </si>
  <si>
    <t>Scatter pays (anywhere on the grid)</t>
  </si>
  <si>
    <t>Scatters</t>
  </si>
  <si>
    <t>Pay (x bet)</t>
  </si>
  <si>
    <t>Free spins awarded</t>
  </si>
  <si>
    <t>Game parameters</t>
  </si>
  <si>
    <t>Reels</t>
  </si>
  <si>
    <t>Rows</t>
  </si>
  <si>
    <t>Paylines</t>
  </si>
  <si>
    <t>Max win cap (x bet)</t>
  </si>
  <si>
    <t>Retrigger: scatters needed</t>
  </si>
  <si>
    <t>Retrigger: extra spins</t>
  </si>
  <si>
    <t>Max retriggers</t>
  </si>
  <si>
    <t>Multiplier start</t>
  </si>
  <si>
    <t>Multiplier step per winning spin</t>
  </si>
  <si>
    <t>Multiplier cap</t>
  </si>
  <si>
    <t>Kastel Fortune — base-game reel strips</t>
  </si>
  <si>
    <t>Strips top-to-bottom (wrapping). Blue cells are inputs: edit a symbol and every probability, the line EV and the RTP recalculate.</t>
  </si>
  <si>
    <t>Symbol counts per reel (COUNTIF)</t>
  </si>
  <si>
    <t>P(symbol on a given row of the reel) = count / length</t>
  </si>
  <si>
    <t>Pos</t>
  </si>
  <si>
    <t>Reel 1</t>
  </si>
  <si>
    <t>Reel 2</t>
  </si>
  <si>
    <t>Reel 3</t>
  </si>
  <si>
    <t>Reel 4</t>
  </si>
  <si>
    <t>Reel 5</t>
  </si>
  <si>
    <t>Strip length</t>
  </si>
  <si>
    <t>check: sums to 1</t>
  </si>
  <si>
    <t>Kastel Fortune — free-spins reel strips</t>
  </si>
  <si>
    <t>Kastel Fortune — single-line expected value, base game (exact, closed form)</t>
  </si>
  <si>
    <t>Base-game strips</t>
  </si>
  <si>
    <t>P(run &gt;= k) = p1(s) x prod_(i=2..k) [p_i(s) + p_i(W)] — exact because reel 1 carries no wild, so the paying symbol is always the reel-1 symbol. P(run = k) = P(run &gt;= k) - P(run &gt;= k+1).</t>
  </si>
  <si>
    <t>p1(s)</t>
  </si>
  <si>
    <t>p2(s)</t>
  </si>
  <si>
    <t>p3(s)</t>
  </si>
  <si>
    <t>p4(s)</t>
  </si>
  <si>
    <t>p5(s)</t>
  </si>
  <si>
    <t>p2(W)</t>
  </si>
  <si>
    <t>p3(W)</t>
  </si>
  <si>
    <t>p4(W)</t>
  </si>
  <si>
    <t>p5(W)</t>
  </si>
  <si>
    <t>P(run&gt;=1)</t>
  </si>
  <si>
    <t>P(run&gt;=2)</t>
  </si>
  <si>
    <t>P(run&gt;=3)</t>
  </si>
  <si>
    <t>P(run&gt;=4)</t>
  </si>
  <si>
    <t>P(run&gt;=5)</t>
  </si>
  <si>
    <t>P(run=3)</t>
  </si>
  <si>
    <t>P(run=4)</t>
  </si>
  <si>
    <t>P(run=5)</t>
  </si>
  <si>
    <t>pay 3</t>
  </si>
  <si>
    <t>pay 4</t>
  </si>
  <si>
    <t>pay 5</t>
  </si>
  <si>
    <t>E[win] x bet</t>
  </si>
  <si>
    <t>P(pays)</t>
  </si>
  <si>
    <t>TOTAL (one line)</t>
  </si>
  <si>
    <t>Validity check: wild count on reel 1 must be 0 for the closed form</t>
  </si>
  <si>
    <t>Kastel Fortune — single-line expected value, free-spin strips (unmultiplied)</t>
  </si>
  <si>
    <t>Free-spin strips</t>
  </si>
  <si>
    <t>Kastel Fortune — scatter-count distribution (exact)</t>
  </si>
  <si>
    <t>Each strip carries exactly one scatter, so P(scatter visible on reel i) = rows x count / length exactly (the 3 stops that show it). The total count is a sum of independent Bernoullis — computed by the DP  P_i(k) = P_(i-1)(k)(1-p_i) + P_(i-1)(k-1) p_i.</t>
  </si>
  <si>
    <t>Base game</t>
  </si>
  <si>
    <t>Reel</t>
  </si>
  <si>
    <t>S count</t>
  </si>
  <si>
    <t>Length</t>
  </si>
  <si>
    <t>p_i = rows x count / length</t>
  </si>
  <si>
    <t>P(k=0)</t>
  </si>
  <si>
    <t>P(k=1)</t>
  </si>
  <si>
    <t>P(k=2)</t>
  </si>
  <si>
    <t>P(k=3)</t>
  </si>
  <si>
    <t>P(k=4)</t>
  </si>
  <si>
    <t>P(k=5)</t>
  </si>
  <si>
    <t>Base-game scatter pays and trigger</t>
  </si>
  <si>
    <t>P(k)</t>
  </si>
  <si>
    <t>1 in</t>
  </si>
  <si>
    <t>RTP share</t>
  </si>
  <si>
    <t>Free spins</t>
  </si>
  <si>
    <t>P(trigger) = P(3+)</t>
  </si>
  <si>
    <t>Scatter RTP</t>
  </si>
  <si>
    <t>Free spins (retrigger probability per free spin)</t>
  </si>
  <si>
    <t>P(retrigger per free spin) = P(3+)</t>
  </si>
  <si>
    <t>Kastel Fortune — free spins as an absorbing Markov chain (expected payout, exact)</t>
  </si>
  <si>
    <t>State = (spins left n, multiplier m, retriggers used r). E(n,m,r) = m*(mu_wr+mu_wn) + p_wn*E(n-1,m',r) + p_nn*E(n-1,m,r) + p_wr*E(n+4,m',r+1) + p_nr*E(n+4,m,r+1); m' = min(m+1,5); when r = 4 the retrigger branches go to (n-1, ., 4). E(0,.,.) = 0.</t>
  </si>
  <si>
    <t>Per-free-spin outcome classes (joint law of 'line win &gt; 0' and '3+ scatters'); the four probabilities and two means come from the full enumeration of the free-spin strips (slotmath/exact.py: 12,644,352 combinations). Cross-checks against this workbook's own closed forms are below.</t>
  </si>
  <si>
    <t>Class</t>
  </si>
  <si>
    <t>Probability</t>
  </si>
  <si>
    <t>E[line win x 1{class}] (unmultiplied)</t>
  </si>
  <si>
    <t>Source</t>
  </si>
  <si>
    <t>win &amp; retrigger</t>
  </si>
  <si>
    <t>full enumeration (results/kastel_exact.pkl)</t>
  </si>
  <si>
    <t>win &amp; no retrigger</t>
  </si>
  <si>
    <t>no win &amp; retrigger</t>
  </si>
  <si>
    <t>no win &amp; no retrigger</t>
  </si>
  <si>
    <t>check: probabilities sum to 1</t>
  </si>
  <si>
    <t>check: P(retrigger) vs Scatters sheet (closed form)</t>
  </si>
  <si>
    <t>check: E[line win per free spin] vs Lines_FS (closed form) x lines</t>
  </si>
  <si>
    <t>E(n, m, r): expected remaining payout (x bet) from a state. Grid laid out for +5 spins per retrigger, max 4 retriggers, multiplier 1..5 step 1.</t>
  </si>
  <si>
    <t>m →</t>
  </si>
  <si>
    <t>r →</t>
  </si>
  <si>
    <t>n = 0</t>
  </si>
  <si>
    <t>Feature value by trigger size</t>
  </si>
  <si>
    <t>Initial spins</t>
  </si>
  <si>
    <t>E[feature payout] x bet</t>
  </si>
  <si>
    <t>P(trigger with k)</t>
  </si>
  <si>
    <t>RTP contribution</t>
  </si>
  <si>
    <t>Feature RTP (sum)</t>
  </si>
  <si>
    <t>Python exact (same recursion, slotmath/markov.py)</t>
  </si>
  <si>
    <t>Kastel Fortune — what-if: edit base-strip symbol COUNTS and read the RTP (feature strips unchanged)</t>
  </si>
  <si>
    <t>Blue counts are a copy of the current base strips. Change them (keep one scatter per reel and no wild on reel 1) to see how the dials move.</t>
  </si>
  <si>
    <t>p reel 1</t>
  </si>
  <si>
    <t>p reel 2</t>
  </si>
  <si>
    <t>p reel 3</t>
  </si>
  <si>
    <t>p reel 4</t>
  </si>
  <si>
    <t>p reel 5</t>
  </si>
  <si>
    <t>Scenario line EV (closed form on the scenario counts)</t>
  </si>
  <si>
    <t>Scenario scatter distribution</t>
  </si>
  <si>
    <t>Result</t>
  </si>
  <si>
    <t>Scenario</t>
  </si>
  <si>
    <t>Current</t>
  </si>
  <si>
    <t>Delta</t>
  </si>
  <si>
    <t>Line RTP</t>
  </si>
  <si>
    <t>Free-spins RTP (feature strips unchanged)</t>
  </si>
  <si>
    <t>TOTAL RTP</t>
  </si>
  <si>
    <t>Feature: 1 in N spins</t>
  </si>
  <si>
    <t>Validity: no wild on reel 1</t>
  </si>
  <si>
    <t>Kastel Fortune — bet levels and exposure</t>
  </si>
  <si>
    <t>Blue = inputs. Fill the jurisdiction's maximum stake (if any) in B4 to flag bet levels above it.</t>
  </si>
  <si>
    <t>Jurisdiction max stake (currency, blank = none)</t>
  </si>
  <si>
    <t>Bet level</t>
  </si>
  <si>
    <t>Per-line unit (bet / lines)</t>
  </si>
  <si>
    <t>Max win (cap x bet)</t>
  </si>
  <si>
    <t>Expected return per spin (RTP x bet)</t>
  </si>
  <si>
    <t>Expected loss per spin</t>
  </si>
  <si>
    <t>Check vs max stake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</si>
</sst>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000%"/>
    <numFmt numFmtId="165" formatCode="0.000000%"/>
    <numFmt numFmtId="166" formatCode="0.0"/>
    <numFmt numFmtId="167" formatCode="0.0000"/>
    <numFmt numFmtId="168" formatCode="0.000000"/>
    <numFmt numFmtId="169" formatCode="0.000E+00"/>
    <numFmt numFmtId="170" formatCode="0.00000000"/>
  </numFmts>
  <fonts count="8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1"/>
      <name val="Arial"/>
      <charset val="1"/>
    </font>
    <font>
      <b/>
      <sz val="11"/>
      <color rgb="FFFFFFFF"/>
      <name val="Arial"/>
      <charset val="1"/>
    </font>
    <font>
      <sz val="11"/>
      <color rgb="FF008000"/>
      <name val="Arial"/>
      <charset val="1"/>
    </font>
    <font>
      <b/>
      <sz val="11"/>
      <name val="Arial"/>
      <charset val="1"/>
    </font>
    <font>
      <sz val="11"/>
      <color rgb="FF0000FF"/>
      <name val="Arial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7E6E6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E7E6E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wrapText="1"/>
    </xf>
    <xf numFmtId="164" fontId="4" fillId="0" borderId="0" xfId="0" applyNumberFormat="1" applyFont="1"/>
    <xf numFmtId="164" fontId="2" fillId="3" borderId="0" xfId="0" applyNumberFormat="1" applyFont="1" applyFill="1"/>
    <xf numFmtId="165" fontId="2" fillId="0" borderId="0" xfId="0" applyNumberFormat="1" applyFont="1"/>
    <xf numFmtId="0" fontId="5" fillId="0" borderId="0" xfId="0" applyFont="1"/>
    <xf numFmtId="164" fontId="5" fillId="4" borderId="0" xfId="0" applyNumberFormat="1" applyFont="1" applyFill="1"/>
    <xf numFmtId="165" fontId="2" fillId="3" borderId="0" xfId="0" applyNumberFormat="1" applyFont="1" applyFill="1"/>
    <xf numFmtId="166" fontId="2" fillId="0" borderId="0" xfId="0" applyNumberFormat="1" applyFont="1"/>
    <xf numFmtId="2" fontId="4" fillId="0" borderId="0" xfId="0" applyNumberFormat="1" applyFont="1"/>
    <xf numFmtId="0" fontId="4" fillId="0" borderId="0" xfId="0" applyFont="1"/>
    <xf numFmtId="167" fontId="2" fillId="3" borderId="0" xfId="0" applyNumberFormat="1" applyFont="1" applyFill="1"/>
    <xf numFmtId="2" fontId="2" fillId="3" borderId="0" xfId="0" applyNumberFormat="1" applyFont="1" applyFill="1"/>
    <xf numFmtId="166" fontId="2" fillId="3" borderId="0" xfId="0" applyNumberFormat="1" applyFont="1" applyFill="1"/>
    <xf numFmtId="3" fontId="2" fillId="3" borderId="0" xfId="0" applyNumberFormat="1" applyFont="1" applyFill="1"/>
    <xf numFmtId="11" fontId="2" fillId="3" borderId="0" xfId="0" applyNumberFormat="1" applyFont="1" applyFill="1"/>
    <xf numFmtId="166" fontId="6" fillId="0" borderId="0" xfId="0" applyNumberFormat="1" applyFont="1"/>
    <xf numFmtId="0" fontId="6" fillId="0" borderId="0" xfId="0" applyFont="1"/>
    <xf numFmtId="0" fontId="6" fillId="0" borderId="0" xfId="0" applyFont="1" applyAlignment="1">
      <alignment horizontal="center"/>
    </xf>
    <xf numFmtId="10" fontId="2" fillId="0" borderId="0" xfId="0" applyNumberFormat="1" applyFont="1"/>
    <xf numFmtId="167" fontId="2" fillId="0" borderId="0" xfId="0" applyNumberFormat="1" applyFont="1"/>
    <xf numFmtId="10" fontId="4" fillId="0" borderId="0" xfId="0" applyNumberFormat="1" applyFont="1"/>
    <xf numFmtId="168" fontId="2" fillId="0" borderId="0" xfId="0" applyNumberFormat="1" applyFont="1"/>
    <xf numFmtId="166" fontId="4" fillId="0" borderId="0" xfId="0" applyNumberFormat="1" applyFont="1"/>
    <xf numFmtId="168" fontId="5" fillId="4" borderId="0" xfId="0" applyNumberFormat="1" applyFont="1" applyFill="1"/>
    <xf numFmtId="168" fontId="6" fillId="0" borderId="0" xfId="0" applyNumberFormat="1" applyFont="1"/>
    <xf numFmtId="169" fontId="2" fillId="0" borderId="0" xfId="0" applyNumberFormat="1" applyFont="1"/>
    <xf numFmtId="3" fontId="2" fillId="0" borderId="0" xfId="0" applyNumberFormat="1" applyFont="1"/>
    <xf numFmtId="164" fontId="2" fillId="0" borderId="0" xfId="0" applyNumberFormat="1" applyFont="1"/>
    <xf numFmtId="168" fontId="2" fillId="4" borderId="0" xfId="0" applyNumberFormat="1" applyFont="1" applyFill="1"/>
    <xf numFmtId="164" fontId="2" fillId="4" borderId="0" xfId="0" applyNumberFormat="1" applyFont="1" applyFill="1"/>
    <xf numFmtId="170" fontId="6" fillId="0" borderId="0" xfId="0" applyNumberFormat="1" applyFont="1"/>
    <xf numFmtId="170" fontId="2" fillId="0" borderId="0" xfId="0" applyNumberFormat="1" applyFont="1"/>
    <xf numFmtId="170" fontId="4" fillId="0" borderId="0" xfId="0" applyNumberFormat="1" applyFont="1"/>
    <xf numFmtId="0" fontId="3" fillId="2" borderId="0" xfId="0" applyFont="1" applyFill="1" applyAlignment="1">
      <alignment horizontal="center"/>
    </xf>
    <xf numFmtId="2" fontId="6" fillId="0" borderId="0" xfId="0" applyNumberFormat="1" applyFont="1"/>
    <xf numFmtId="2" fontId="2" fillId="5" borderId="0" xfId="0" applyNumberFormat="1" applyFont="1" applyFill="1"/>
    <xf numFmtId="167" fontId="2" fillId="4" borderId="0" xfId="0" applyNumberFormat="1" applyFont="1" applyFill="1"/>
    <xf numFmtId="169" fontId="4" fillId="0" borderId="0" xfId="0" applyNumberFormat="1" applyFont="1"/>
    <xf numFmtId="0" fontId="6" fillId="4" borderId="0" xfId="0" applyFont="1" applyFill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Views>
    <sheetView zoomScaleNormal="100" workbookViewId="0"/>
  </sheetViews>
  <sheetFormatPr defaultColWidth="8.6328125" defaultRowHeight="14.5" x14ac:dyDescent="0.35"/>
  <cols>
    <col min="1" max="1" width="160" customWidth="1"/>
  </cols>
  <sheetData>
    <row r="1" spans="1:1" ht="18" x14ac:dyDescent="0.4">
      <c r="A1" s="1" t="s">
        <v>0</v>
      </c>
    </row>
    <row r="3" spans="1:1" x14ac:dyDescent="0.35">
      <c r="A3" s="2" t="s">
        <v>1</v>
      </c>
    </row>
    <row r="4" spans="1:1" x14ac:dyDescent="0.35">
      <c r="A4" s="2"/>
    </row>
    <row r="5" spans="1:1" x14ac:dyDescent="0.35">
      <c r="A5" s="2" t="s">
        <v>2</v>
      </c>
    </row>
    <row r="6" spans="1:1" x14ac:dyDescent="0.35">
      <c r="A6" s="2"/>
    </row>
    <row r="7" spans="1:1" x14ac:dyDescent="0.35">
      <c r="A7" s="2" t="s">
        <v>3</v>
      </c>
    </row>
    <row r="8" spans="1:1" x14ac:dyDescent="0.35">
      <c r="A8" s="2" t="s">
        <v>4</v>
      </c>
    </row>
    <row r="9" spans="1:1" x14ac:dyDescent="0.35">
      <c r="A9" s="2" t="s">
        <v>5</v>
      </c>
    </row>
    <row r="10" spans="1:1" x14ac:dyDescent="0.35">
      <c r="A10" s="2" t="s">
        <v>6</v>
      </c>
    </row>
    <row r="11" spans="1:1" x14ac:dyDescent="0.35">
      <c r="A11" s="2" t="s">
        <v>7</v>
      </c>
    </row>
    <row r="12" spans="1:1" x14ac:dyDescent="0.35">
      <c r="A12" s="2" t="s">
        <v>8</v>
      </c>
    </row>
    <row r="13" spans="1:1" x14ac:dyDescent="0.35">
      <c r="A13" s="2"/>
    </row>
    <row r="14" spans="1:1" x14ac:dyDescent="0.35">
      <c r="A14" s="2" t="s">
        <v>9</v>
      </c>
    </row>
    <row r="15" spans="1:1" x14ac:dyDescent="0.35">
      <c r="A15" s="2" t="s">
        <v>10</v>
      </c>
    </row>
    <row r="16" spans="1:1" x14ac:dyDescent="0.35">
      <c r="A16" s="2"/>
    </row>
    <row r="17" spans="1:1" x14ac:dyDescent="0.35">
      <c r="A17" s="2" t="s">
        <v>11</v>
      </c>
    </row>
    <row r="18" spans="1:1" x14ac:dyDescent="0.35">
      <c r="A18" s="2"/>
    </row>
    <row r="19" spans="1:1" x14ac:dyDescent="0.35">
      <c r="A19" s="2" t="s">
        <v>12</v>
      </c>
    </row>
    <row r="20" spans="1:1" x14ac:dyDescent="0.35">
      <c r="A20" s="2"/>
    </row>
    <row r="21" spans="1:1" x14ac:dyDescent="0.35">
      <c r="A21" s="2" t="s">
        <v>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zoomScaleNormal="100" workbookViewId="0"/>
  </sheetViews>
  <sheetFormatPr defaultColWidth="8.6328125" defaultRowHeight="14.5" x14ac:dyDescent="0.35"/>
  <cols>
    <col min="1" max="1" width="48" customWidth="1"/>
    <col min="2" max="3" width="16" customWidth="1"/>
    <col min="4" max="4" width="14" customWidth="1"/>
  </cols>
  <sheetData>
    <row r="1" spans="1:4" ht="18" x14ac:dyDescent="0.4">
      <c r="A1" s="1" t="s">
        <v>14</v>
      </c>
    </row>
    <row r="2" spans="1:4" x14ac:dyDescent="0.35">
      <c r="A2" s="2" t="s">
        <v>15</v>
      </c>
    </row>
    <row r="4" spans="1:4" x14ac:dyDescent="0.35">
      <c r="A4" s="3" t="s">
        <v>16</v>
      </c>
      <c r="B4" s="3" t="s">
        <v>17</v>
      </c>
      <c r="C4" s="3" t="s">
        <v>18</v>
      </c>
      <c r="D4" s="3" t="s">
        <v>19</v>
      </c>
    </row>
    <row r="5" spans="1:4" x14ac:dyDescent="0.35">
      <c r="A5" s="2" t="s">
        <v>20</v>
      </c>
      <c r="B5" s="4">
        <f>Paytable!$B$27*Lines_Base!$V$14</f>
        <v>0.58705050950421322</v>
      </c>
      <c r="C5" s="5">
        <v>0.587050509504213</v>
      </c>
      <c r="D5" s="6">
        <f>B5-C5</f>
        <v>0</v>
      </c>
    </row>
    <row r="6" spans="1:4" x14ac:dyDescent="0.35">
      <c r="A6" s="2" t="s">
        <v>21</v>
      </c>
      <c r="B6" s="4">
        <f>Scatters!$E$20</f>
        <v>1.2790810768751944E-2</v>
      </c>
      <c r="C6" s="5">
        <v>1.27908107687519E-2</v>
      </c>
      <c r="D6" s="6">
        <f>B6-C6</f>
        <v>4.3368086899420177E-17</v>
      </c>
    </row>
    <row r="7" spans="1:4" x14ac:dyDescent="0.35">
      <c r="A7" s="2" t="s">
        <v>22</v>
      </c>
      <c r="B7" s="4">
        <f>FreeSpins!$E$60</f>
        <v>0.36218115855311306</v>
      </c>
      <c r="C7" s="5">
        <v>0.362181158553111</v>
      </c>
      <c r="D7" s="6">
        <f>B7-C7</f>
        <v>2.0539125955565396E-15</v>
      </c>
    </row>
    <row r="8" spans="1:4" x14ac:dyDescent="0.35">
      <c r="A8" s="7" t="s">
        <v>23</v>
      </c>
      <c r="B8" s="8">
        <f>SUM(B5:B7)</f>
        <v>0.96202247882607828</v>
      </c>
      <c r="C8" s="5">
        <v>0.96202247882607705</v>
      </c>
      <c r="D8" s="6">
        <f>B8-C8</f>
        <v>1.2212453270876722E-15</v>
      </c>
    </row>
    <row r="9" spans="1:4" x14ac:dyDescent="0.35">
      <c r="A9" s="2" t="s">
        <v>24</v>
      </c>
      <c r="C9" s="9">
        <v>2.1136336736393699E-7</v>
      </c>
    </row>
    <row r="10" spans="1:4" x14ac:dyDescent="0.35">
      <c r="A10" s="7" t="s">
        <v>25</v>
      </c>
      <c r="C10" s="5">
        <v>0.96202226746270902</v>
      </c>
    </row>
    <row r="12" spans="1:4" x14ac:dyDescent="0.35">
      <c r="A12" s="3" t="s">
        <v>26</v>
      </c>
      <c r="B12" s="3" t="s">
        <v>17</v>
      </c>
      <c r="C12" s="3" t="s">
        <v>18</v>
      </c>
      <c r="D12" s="3"/>
    </row>
    <row r="13" spans="1:4" x14ac:dyDescent="0.35">
      <c r="A13" s="2" t="s">
        <v>27</v>
      </c>
      <c r="B13" s="4">
        <f>Lines_Base!$W$14</f>
        <v>2.9749657064471881E-2</v>
      </c>
    </row>
    <row r="14" spans="1:4" x14ac:dyDescent="0.35">
      <c r="A14" s="2" t="s">
        <v>28</v>
      </c>
      <c r="B14" s="4">
        <f>Scatters!$B$19</f>
        <v>5.3449852163087452E-3</v>
      </c>
      <c r="C14" s="5">
        <v>5.3449852163087496E-3</v>
      </c>
    </row>
    <row r="15" spans="1:4" x14ac:dyDescent="0.35">
      <c r="A15" s="2" t="s">
        <v>29</v>
      </c>
      <c r="B15" s="10">
        <f>1/B14</f>
        <v>187.09125648257668</v>
      </c>
    </row>
    <row r="16" spans="1:4" x14ac:dyDescent="0.35">
      <c r="A16" s="2" t="s">
        <v>30</v>
      </c>
      <c r="B16" s="11">
        <f>FreeSpins!$C$57</f>
        <v>65.404958251530928</v>
      </c>
      <c r="C16" s="11">
        <f>FreeSpins!$C$58</f>
        <v>116.7605570952993</v>
      </c>
      <c r="D16" s="11">
        <f>FreeSpins!$C$59</f>
        <v>169.36526661704821</v>
      </c>
    </row>
    <row r="17" spans="1:4" x14ac:dyDescent="0.35">
      <c r="A17" s="2" t="s">
        <v>31</v>
      </c>
      <c r="B17" s="12" t="str">
        <f>Lines_Base!$V$15</f>
        <v>OK</v>
      </c>
    </row>
    <row r="19" spans="1:4" x14ac:dyDescent="0.35">
      <c r="A19" s="3" t="s">
        <v>32</v>
      </c>
      <c r="B19" s="3"/>
      <c r="C19" s="3" t="s">
        <v>18</v>
      </c>
      <c r="D19" s="3"/>
    </row>
    <row r="20" spans="1:4" x14ac:dyDescent="0.35">
      <c r="A20" s="2" t="s">
        <v>33</v>
      </c>
      <c r="C20" s="5">
        <v>0.34810940579935701</v>
      </c>
    </row>
    <row r="21" spans="1:4" x14ac:dyDescent="0.35">
      <c r="A21" s="2" t="s">
        <v>34</v>
      </c>
      <c r="C21" s="13">
        <v>7.5517620296623598</v>
      </c>
    </row>
    <row r="22" spans="1:4" x14ac:dyDescent="0.35">
      <c r="A22" s="2" t="s">
        <v>35</v>
      </c>
      <c r="C22" s="14">
        <v>14.801453578138201</v>
      </c>
    </row>
    <row r="23" spans="1:4" x14ac:dyDescent="0.35">
      <c r="A23" s="2" t="s">
        <v>36</v>
      </c>
      <c r="C23" s="14">
        <v>67.7608903611263</v>
      </c>
    </row>
    <row r="24" spans="1:4" x14ac:dyDescent="0.35">
      <c r="A24" s="2" t="s">
        <v>37</v>
      </c>
      <c r="C24" s="15">
        <v>47.8</v>
      </c>
    </row>
    <row r="25" spans="1:4" x14ac:dyDescent="0.35">
      <c r="A25" s="2" t="s">
        <v>38</v>
      </c>
      <c r="C25" s="16">
        <v>913.861362523038</v>
      </c>
    </row>
    <row r="26" spans="1:4" x14ac:dyDescent="0.35">
      <c r="A26" s="2" t="s">
        <v>39</v>
      </c>
      <c r="C26" s="16">
        <v>4319605.8493182603</v>
      </c>
    </row>
    <row r="27" spans="1:4" x14ac:dyDescent="0.35">
      <c r="A27" s="2" t="s">
        <v>40</v>
      </c>
      <c r="C27" s="17">
        <v>515636176.201294</v>
      </c>
    </row>
    <row r="28" spans="1:4" x14ac:dyDescent="0.35">
      <c r="A28" s="2" t="s">
        <v>41</v>
      </c>
      <c r="C28" s="16">
        <v>55520640</v>
      </c>
    </row>
    <row r="29" spans="1:4" x14ac:dyDescent="0.35">
      <c r="A29" s="2" t="s">
        <v>42</v>
      </c>
      <c r="C29" s="16">
        <v>12644352</v>
      </c>
    </row>
    <row r="31" spans="1:4" x14ac:dyDescent="0.35">
      <c r="A31" s="2" t="s">
        <v>43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34"/>
  <sheetViews>
    <sheetView zoomScaleNormal="100" workbookViewId="0"/>
  </sheetViews>
  <sheetFormatPr defaultColWidth="8.6328125" defaultRowHeight="14.5" x14ac:dyDescent="0.35"/>
  <cols>
    <col min="1" max="1" width="30" customWidth="1"/>
    <col min="2" max="2" width="22" customWidth="1"/>
    <col min="3" max="4" width="14" customWidth="1"/>
    <col min="5" max="5" width="18" customWidth="1"/>
  </cols>
  <sheetData>
    <row r="1" spans="1:5" ht="18" x14ac:dyDescent="0.4">
      <c r="A1" s="1" t="s">
        <v>44</v>
      </c>
    </row>
    <row r="2" spans="1:5" x14ac:dyDescent="0.35">
      <c r="A2" s="2" t="s">
        <v>45</v>
      </c>
    </row>
    <row r="4" spans="1:5" x14ac:dyDescent="0.35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</row>
    <row r="5" spans="1:5" x14ac:dyDescent="0.35">
      <c r="A5" s="7" t="s">
        <v>51</v>
      </c>
      <c r="B5" s="2" t="s">
        <v>52</v>
      </c>
      <c r="C5" s="18">
        <v>0</v>
      </c>
      <c r="D5" s="18">
        <v>0</v>
      </c>
      <c r="E5" s="18">
        <v>0</v>
      </c>
    </row>
    <row r="6" spans="1:5" x14ac:dyDescent="0.35">
      <c r="A6" s="7" t="s">
        <v>53</v>
      </c>
      <c r="B6" s="2" t="s">
        <v>54</v>
      </c>
      <c r="C6" s="18">
        <v>0</v>
      </c>
      <c r="D6" s="18">
        <v>0</v>
      </c>
      <c r="E6" s="18">
        <v>0</v>
      </c>
    </row>
    <row r="7" spans="1:5" x14ac:dyDescent="0.35">
      <c r="A7" s="7" t="s">
        <v>55</v>
      </c>
      <c r="B7" s="2" t="s">
        <v>56</v>
      </c>
      <c r="C7" s="18">
        <v>2</v>
      </c>
      <c r="D7" s="18">
        <v>8</v>
      </c>
      <c r="E7" s="18">
        <v>40</v>
      </c>
    </row>
    <row r="8" spans="1:5" x14ac:dyDescent="0.35">
      <c r="A8" s="7" t="s">
        <v>57</v>
      </c>
      <c r="B8" s="2" t="s">
        <v>58</v>
      </c>
      <c r="C8" s="18">
        <v>1.5</v>
      </c>
      <c r="D8" s="18">
        <v>5</v>
      </c>
      <c r="E8" s="18">
        <v>25</v>
      </c>
    </row>
    <row r="9" spans="1:5" x14ac:dyDescent="0.35">
      <c r="A9" s="7" t="s">
        <v>59</v>
      </c>
      <c r="B9" s="2" t="s">
        <v>60</v>
      </c>
      <c r="C9" s="18">
        <v>1</v>
      </c>
      <c r="D9" s="18">
        <v>3</v>
      </c>
      <c r="E9" s="18">
        <v>15</v>
      </c>
    </row>
    <row r="10" spans="1:5" x14ac:dyDescent="0.35">
      <c r="A10" s="7" t="s">
        <v>61</v>
      </c>
      <c r="B10" s="2" t="s">
        <v>62</v>
      </c>
      <c r="C10" s="18">
        <v>0.8</v>
      </c>
      <c r="D10" s="18">
        <v>2</v>
      </c>
      <c r="E10" s="18">
        <v>10</v>
      </c>
    </row>
    <row r="11" spans="1:5" x14ac:dyDescent="0.35">
      <c r="A11" s="7" t="s">
        <v>63</v>
      </c>
      <c r="B11" s="2" t="s">
        <v>63</v>
      </c>
      <c r="C11" s="18">
        <v>0.4</v>
      </c>
      <c r="D11" s="18">
        <v>1.2</v>
      </c>
      <c r="E11" s="18">
        <v>5</v>
      </c>
    </row>
    <row r="12" spans="1:5" x14ac:dyDescent="0.35">
      <c r="A12" s="7" t="s">
        <v>64</v>
      </c>
      <c r="B12" s="2" t="s">
        <v>64</v>
      </c>
      <c r="C12" s="18">
        <v>0.3</v>
      </c>
      <c r="D12" s="18">
        <v>1</v>
      </c>
      <c r="E12" s="18">
        <v>4</v>
      </c>
    </row>
    <row r="13" spans="1:5" x14ac:dyDescent="0.35">
      <c r="A13" s="7" t="s">
        <v>65</v>
      </c>
      <c r="B13" s="2" t="s">
        <v>65</v>
      </c>
      <c r="C13" s="18">
        <v>0.3</v>
      </c>
      <c r="D13" s="18">
        <v>0.8</v>
      </c>
      <c r="E13" s="18">
        <v>3</v>
      </c>
    </row>
    <row r="14" spans="1:5" x14ac:dyDescent="0.35">
      <c r="A14" s="7" t="s">
        <v>66</v>
      </c>
      <c r="B14" s="2" t="s">
        <v>66</v>
      </c>
      <c r="C14" s="18">
        <v>0.2</v>
      </c>
      <c r="D14" s="18">
        <v>0.6</v>
      </c>
      <c r="E14" s="18">
        <v>2.5</v>
      </c>
    </row>
    <row r="17" spans="1:3" x14ac:dyDescent="0.35">
      <c r="A17" s="7" t="s">
        <v>67</v>
      </c>
    </row>
    <row r="18" spans="1:3" ht="28.5" x14ac:dyDescent="0.35">
      <c r="A18" s="3" t="s">
        <v>68</v>
      </c>
      <c r="B18" s="3" t="s">
        <v>69</v>
      </c>
      <c r="C18" s="3" t="s">
        <v>70</v>
      </c>
    </row>
    <row r="19" spans="1:3" x14ac:dyDescent="0.35">
      <c r="A19" s="7">
        <v>3</v>
      </c>
      <c r="B19" s="18">
        <v>2</v>
      </c>
      <c r="C19" s="19">
        <v>10</v>
      </c>
    </row>
    <row r="20" spans="1:3" x14ac:dyDescent="0.35">
      <c r="A20" s="7">
        <v>4</v>
      </c>
      <c r="B20" s="18">
        <v>10</v>
      </c>
      <c r="C20" s="19">
        <v>15</v>
      </c>
    </row>
    <row r="21" spans="1:3" x14ac:dyDescent="0.35">
      <c r="A21" s="7">
        <v>5</v>
      </c>
      <c r="B21" s="18">
        <v>50</v>
      </c>
      <c r="C21" s="19">
        <v>20</v>
      </c>
    </row>
    <row r="24" spans="1:3" x14ac:dyDescent="0.35">
      <c r="A24" s="7" t="s">
        <v>71</v>
      </c>
    </row>
    <row r="25" spans="1:3" x14ac:dyDescent="0.35">
      <c r="A25" s="2" t="s">
        <v>72</v>
      </c>
      <c r="B25" s="19">
        <v>5</v>
      </c>
    </row>
    <row r="26" spans="1:3" x14ac:dyDescent="0.35">
      <c r="A26" s="2" t="s">
        <v>73</v>
      </c>
      <c r="B26" s="19">
        <v>3</v>
      </c>
    </row>
    <row r="27" spans="1:3" x14ac:dyDescent="0.35">
      <c r="A27" s="2" t="s">
        <v>74</v>
      </c>
      <c r="B27" s="19">
        <v>20</v>
      </c>
    </row>
    <row r="28" spans="1:3" x14ac:dyDescent="0.35">
      <c r="A28" s="2" t="s">
        <v>75</v>
      </c>
      <c r="B28" s="19">
        <v>1500</v>
      </c>
    </row>
    <row r="29" spans="1:3" x14ac:dyDescent="0.35">
      <c r="A29" s="2" t="s">
        <v>76</v>
      </c>
      <c r="B29" s="19">
        <v>3</v>
      </c>
    </row>
    <row r="30" spans="1:3" x14ac:dyDescent="0.35">
      <c r="A30" s="2" t="s">
        <v>77</v>
      </c>
      <c r="B30" s="19">
        <v>5</v>
      </c>
    </row>
    <row r="31" spans="1:3" x14ac:dyDescent="0.35">
      <c r="A31" s="2" t="s">
        <v>78</v>
      </c>
      <c r="B31" s="19">
        <v>4</v>
      </c>
    </row>
    <row r="32" spans="1:3" x14ac:dyDescent="0.35">
      <c r="A32" s="2" t="s">
        <v>79</v>
      </c>
      <c r="B32" s="19">
        <v>1</v>
      </c>
    </row>
    <row r="33" spans="1:2" x14ac:dyDescent="0.35">
      <c r="A33" s="2" t="s">
        <v>80</v>
      </c>
      <c r="B33" s="19">
        <v>1</v>
      </c>
    </row>
    <row r="34" spans="1:2" x14ac:dyDescent="0.35">
      <c r="A34" s="2" t="s">
        <v>81</v>
      </c>
      <c r="B34" s="19">
        <v>5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4"/>
  <sheetViews>
    <sheetView zoomScaleNormal="100" workbookViewId="0"/>
  </sheetViews>
  <sheetFormatPr defaultColWidth="8.6328125" defaultRowHeight="14.5" x14ac:dyDescent="0.35"/>
  <cols>
    <col min="1" max="1" width="6" customWidth="1"/>
    <col min="2" max="6" width="8" customWidth="1"/>
    <col min="9" max="9" width="14" customWidth="1"/>
    <col min="16" max="16" width="14" customWidth="1"/>
  </cols>
  <sheetData>
    <row r="1" spans="1:21" ht="18" x14ac:dyDescent="0.4">
      <c r="A1" s="1" t="s">
        <v>82</v>
      </c>
    </row>
    <row r="2" spans="1:21" x14ac:dyDescent="0.35">
      <c r="A2" s="2" t="s">
        <v>83</v>
      </c>
    </row>
    <row r="3" spans="1:21" x14ac:dyDescent="0.35">
      <c r="I3" s="7" t="s">
        <v>84</v>
      </c>
      <c r="P3" s="7" t="s">
        <v>85</v>
      </c>
    </row>
    <row r="4" spans="1:21" x14ac:dyDescent="0.35">
      <c r="A4" s="3" t="s">
        <v>86</v>
      </c>
      <c r="B4" s="3" t="s">
        <v>87</v>
      </c>
      <c r="C4" s="3" t="s">
        <v>88</v>
      </c>
      <c r="D4" s="3" t="s">
        <v>89</v>
      </c>
      <c r="E4" s="3" t="s">
        <v>90</v>
      </c>
      <c r="F4" s="3" t="s">
        <v>91</v>
      </c>
      <c r="I4" s="3" t="s">
        <v>46</v>
      </c>
      <c r="J4" s="3" t="s">
        <v>87</v>
      </c>
      <c r="K4" s="3" t="s">
        <v>88</v>
      </c>
      <c r="L4" s="3" t="s">
        <v>89</v>
      </c>
      <c r="M4" s="3" t="s">
        <v>90</v>
      </c>
      <c r="N4" s="3" t="s">
        <v>91</v>
      </c>
      <c r="P4" s="3" t="s">
        <v>46</v>
      </c>
      <c r="Q4" s="3" t="s">
        <v>87</v>
      </c>
      <c r="R4" s="3" t="s">
        <v>88</v>
      </c>
      <c r="S4" s="3" t="s">
        <v>89</v>
      </c>
      <c r="T4" s="3" t="s">
        <v>90</v>
      </c>
      <c r="U4" s="3" t="s">
        <v>91</v>
      </c>
    </row>
    <row r="5" spans="1:21" x14ac:dyDescent="0.35">
      <c r="A5" s="2">
        <v>1</v>
      </c>
      <c r="B5" s="20" t="s">
        <v>63</v>
      </c>
      <c r="C5" s="20" t="s">
        <v>63</v>
      </c>
      <c r="D5" s="20" t="s">
        <v>63</v>
      </c>
      <c r="E5" s="20" t="s">
        <v>61</v>
      </c>
      <c r="F5" s="20" t="s">
        <v>63</v>
      </c>
      <c r="I5" s="7" t="s">
        <v>51</v>
      </c>
      <c r="J5" s="2">
        <f t="shared" ref="J5:J14" si="0">COUNTIF(B$5:B$54,$I5)</f>
        <v>0</v>
      </c>
      <c r="K5" s="2">
        <f t="shared" ref="K5:K14" si="1">COUNTIF(C$5:C$54,$I5)</f>
        <v>2</v>
      </c>
      <c r="L5" s="2">
        <f t="shared" ref="L5:L14" si="2">COUNTIF(D$5:D$54,$I5)</f>
        <v>2</v>
      </c>
      <c r="M5" s="2">
        <f t="shared" ref="M5:M14" si="3">COUNTIF(E$5:E$54,$I5)</f>
        <v>2</v>
      </c>
      <c r="N5" s="2">
        <f t="shared" ref="N5:N14" si="4">COUNTIF(F$5:F$54,$I5)</f>
        <v>0</v>
      </c>
      <c r="P5" s="7" t="s">
        <v>51</v>
      </c>
      <c r="Q5" s="21">
        <f t="shared" ref="Q5:Q14" si="5">J5/J$15</f>
        <v>0</v>
      </c>
      <c r="R5" s="21">
        <f t="shared" ref="R5:R14" si="6">K5/K$15</f>
        <v>5.5555555555555552E-2</v>
      </c>
      <c r="S5" s="21">
        <f t="shared" ref="S5:S14" si="7">L5/L$15</f>
        <v>5.5555555555555552E-2</v>
      </c>
      <c r="T5" s="21">
        <f t="shared" ref="T5:T14" si="8">M5/M$15</f>
        <v>5.7142857142857141E-2</v>
      </c>
      <c r="U5" s="21">
        <f t="shared" ref="U5:U14" si="9">N5/N$15</f>
        <v>0</v>
      </c>
    </row>
    <row r="6" spans="1:21" x14ac:dyDescent="0.35">
      <c r="A6" s="2">
        <v>2</v>
      </c>
      <c r="B6" s="20" t="s">
        <v>64</v>
      </c>
      <c r="C6" s="20" t="s">
        <v>64</v>
      </c>
      <c r="D6" s="20" t="s">
        <v>64</v>
      </c>
      <c r="E6" s="20" t="s">
        <v>63</v>
      </c>
      <c r="F6" s="20" t="s">
        <v>55</v>
      </c>
      <c r="I6" s="7" t="s">
        <v>53</v>
      </c>
      <c r="J6" s="2">
        <f t="shared" si="0"/>
        <v>1</v>
      </c>
      <c r="K6" s="2">
        <f t="shared" si="1"/>
        <v>1</v>
      </c>
      <c r="L6" s="2">
        <f t="shared" si="2"/>
        <v>1</v>
      </c>
      <c r="M6" s="2">
        <f t="shared" si="3"/>
        <v>1</v>
      </c>
      <c r="N6" s="2">
        <f t="shared" si="4"/>
        <v>1</v>
      </c>
      <c r="P6" s="7" t="s">
        <v>53</v>
      </c>
      <c r="Q6" s="21">
        <f t="shared" si="5"/>
        <v>2.7777777777777776E-2</v>
      </c>
      <c r="R6" s="21">
        <f t="shared" si="6"/>
        <v>2.7777777777777776E-2</v>
      </c>
      <c r="S6" s="21">
        <f t="shared" si="7"/>
        <v>2.7777777777777776E-2</v>
      </c>
      <c r="T6" s="21">
        <f t="shared" si="8"/>
        <v>2.8571428571428571E-2</v>
      </c>
      <c r="U6" s="21">
        <f t="shared" si="9"/>
        <v>2.9411764705882353E-2</v>
      </c>
    </row>
    <row r="7" spans="1:21" x14ac:dyDescent="0.35">
      <c r="A7" s="2">
        <v>3</v>
      </c>
      <c r="B7" s="20" t="s">
        <v>65</v>
      </c>
      <c r="C7" s="20" t="s">
        <v>65</v>
      </c>
      <c r="D7" s="20" t="s">
        <v>65</v>
      </c>
      <c r="E7" s="20" t="s">
        <v>65</v>
      </c>
      <c r="F7" s="20" t="s">
        <v>57</v>
      </c>
      <c r="I7" s="7" t="s">
        <v>55</v>
      </c>
      <c r="J7" s="2">
        <f t="shared" si="0"/>
        <v>3</v>
      </c>
      <c r="K7" s="2">
        <f t="shared" si="1"/>
        <v>4</v>
      </c>
      <c r="L7" s="2">
        <f t="shared" si="2"/>
        <v>4</v>
      </c>
      <c r="M7" s="2">
        <f t="shared" si="3"/>
        <v>4</v>
      </c>
      <c r="N7" s="2">
        <f t="shared" si="4"/>
        <v>3</v>
      </c>
      <c r="P7" s="7" t="s">
        <v>55</v>
      </c>
      <c r="Q7" s="21">
        <f t="shared" si="5"/>
        <v>8.3333333333333329E-2</v>
      </c>
      <c r="R7" s="21">
        <f t="shared" si="6"/>
        <v>0.1111111111111111</v>
      </c>
      <c r="S7" s="21">
        <f t="shared" si="7"/>
        <v>0.1111111111111111</v>
      </c>
      <c r="T7" s="21">
        <f t="shared" si="8"/>
        <v>0.11428571428571428</v>
      </c>
      <c r="U7" s="21">
        <f t="shared" si="9"/>
        <v>8.8235294117647065E-2</v>
      </c>
    </row>
    <row r="8" spans="1:21" x14ac:dyDescent="0.35">
      <c r="A8" s="2">
        <v>4</v>
      </c>
      <c r="B8" s="20" t="s">
        <v>66</v>
      </c>
      <c r="C8" s="20" t="s">
        <v>66</v>
      </c>
      <c r="D8" s="20" t="s">
        <v>66</v>
      </c>
      <c r="E8" s="20" t="s">
        <v>64</v>
      </c>
      <c r="F8" s="20" t="s">
        <v>66</v>
      </c>
      <c r="I8" s="7" t="s">
        <v>57</v>
      </c>
      <c r="J8" s="2">
        <f t="shared" si="0"/>
        <v>4</v>
      </c>
      <c r="K8" s="2">
        <f t="shared" si="1"/>
        <v>4</v>
      </c>
      <c r="L8" s="2">
        <f t="shared" si="2"/>
        <v>3</v>
      </c>
      <c r="M8" s="2">
        <f t="shared" si="3"/>
        <v>2</v>
      </c>
      <c r="N8" s="2">
        <f t="shared" si="4"/>
        <v>5</v>
      </c>
      <c r="P8" s="7" t="s">
        <v>57</v>
      </c>
      <c r="Q8" s="21">
        <f t="shared" si="5"/>
        <v>0.1111111111111111</v>
      </c>
      <c r="R8" s="21">
        <f t="shared" si="6"/>
        <v>0.1111111111111111</v>
      </c>
      <c r="S8" s="21">
        <f t="shared" si="7"/>
        <v>8.3333333333333329E-2</v>
      </c>
      <c r="T8" s="21">
        <f t="shared" si="8"/>
        <v>5.7142857142857141E-2</v>
      </c>
      <c r="U8" s="21">
        <f t="shared" si="9"/>
        <v>0.14705882352941177</v>
      </c>
    </row>
    <row r="9" spans="1:21" x14ac:dyDescent="0.35">
      <c r="A9" s="2">
        <v>5</v>
      </c>
      <c r="B9" s="20" t="s">
        <v>57</v>
      </c>
      <c r="C9" s="20" t="s">
        <v>57</v>
      </c>
      <c r="D9" s="20" t="s">
        <v>53</v>
      </c>
      <c r="E9" s="20" t="s">
        <v>59</v>
      </c>
      <c r="F9" s="20" t="s">
        <v>59</v>
      </c>
      <c r="I9" s="7" t="s">
        <v>59</v>
      </c>
      <c r="J9" s="2">
        <f t="shared" si="0"/>
        <v>4</v>
      </c>
      <c r="K9" s="2">
        <f t="shared" si="1"/>
        <v>3</v>
      </c>
      <c r="L9" s="2">
        <f t="shared" si="2"/>
        <v>3</v>
      </c>
      <c r="M9" s="2">
        <f t="shared" si="3"/>
        <v>2</v>
      </c>
      <c r="N9" s="2">
        <f t="shared" si="4"/>
        <v>4</v>
      </c>
      <c r="P9" s="7" t="s">
        <v>59</v>
      </c>
      <c r="Q9" s="21">
        <f t="shared" si="5"/>
        <v>0.1111111111111111</v>
      </c>
      <c r="R9" s="21">
        <f t="shared" si="6"/>
        <v>8.3333333333333329E-2</v>
      </c>
      <c r="S9" s="21">
        <f t="shared" si="7"/>
        <v>8.3333333333333329E-2</v>
      </c>
      <c r="T9" s="21">
        <f t="shared" si="8"/>
        <v>5.7142857142857141E-2</v>
      </c>
      <c r="U9" s="21">
        <f t="shared" si="9"/>
        <v>0.11764705882352941</v>
      </c>
    </row>
    <row r="10" spans="1:21" x14ac:dyDescent="0.35">
      <c r="A10" s="2">
        <v>6</v>
      </c>
      <c r="B10" s="20" t="s">
        <v>59</v>
      </c>
      <c r="C10" s="20" t="s">
        <v>53</v>
      </c>
      <c r="D10" s="20" t="s">
        <v>57</v>
      </c>
      <c r="E10" s="20" t="s">
        <v>55</v>
      </c>
      <c r="F10" s="20" t="s">
        <v>63</v>
      </c>
      <c r="I10" s="7" t="s">
        <v>61</v>
      </c>
      <c r="J10" s="2">
        <f t="shared" si="0"/>
        <v>4</v>
      </c>
      <c r="K10" s="2">
        <f t="shared" si="1"/>
        <v>2</v>
      </c>
      <c r="L10" s="2">
        <f t="shared" si="2"/>
        <v>3</v>
      </c>
      <c r="M10" s="2">
        <f t="shared" si="3"/>
        <v>5</v>
      </c>
      <c r="N10" s="2">
        <f t="shared" si="4"/>
        <v>4</v>
      </c>
      <c r="P10" s="7" t="s">
        <v>61</v>
      </c>
      <c r="Q10" s="21">
        <f t="shared" si="5"/>
        <v>0.1111111111111111</v>
      </c>
      <c r="R10" s="21">
        <f t="shared" si="6"/>
        <v>5.5555555555555552E-2</v>
      </c>
      <c r="S10" s="21">
        <f t="shared" si="7"/>
        <v>8.3333333333333329E-2</v>
      </c>
      <c r="T10" s="21">
        <f t="shared" si="8"/>
        <v>0.14285714285714285</v>
      </c>
      <c r="U10" s="21">
        <f t="shared" si="9"/>
        <v>0.11764705882352941</v>
      </c>
    </row>
    <row r="11" spans="1:21" x14ac:dyDescent="0.35">
      <c r="A11" s="2">
        <v>7</v>
      </c>
      <c r="B11" s="20" t="s">
        <v>61</v>
      </c>
      <c r="C11" s="20" t="s">
        <v>61</v>
      </c>
      <c r="D11" s="20" t="s">
        <v>55</v>
      </c>
      <c r="E11" s="20" t="s">
        <v>63</v>
      </c>
      <c r="F11" s="20" t="s">
        <v>61</v>
      </c>
      <c r="I11" s="7" t="s">
        <v>63</v>
      </c>
      <c r="J11" s="2">
        <f t="shared" si="0"/>
        <v>5</v>
      </c>
      <c r="K11" s="2">
        <f t="shared" si="1"/>
        <v>5</v>
      </c>
      <c r="L11" s="2">
        <f t="shared" si="2"/>
        <v>5</v>
      </c>
      <c r="M11" s="2">
        <f t="shared" si="3"/>
        <v>7</v>
      </c>
      <c r="N11" s="2">
        <f t="shared" si="4"/>
        <v>6</v>
      </c>
      <c r="P11" s="7" t="s">
        <v>63</v>
      </c>
      <c r="Q11" s="21">
        <f t="shared" si="5"/>
        <v>0.1388888888888889</v>
      </c>
      <c r="R11" s="21">
        <f t="shared" si="6"/>
        <v>0.1388888888888889</v>
      </c>
      <c r="S11" s="21">
        <f t="shared" si="7"/>
        <v>0.1388888888888889</v>
      </c>
      <c r="T11" s="21">
        <f t="shared" si="8"/>
        <v>0.2</v>
      </c>
      <c r="U11" s="21">
        <f t="shared" si="9"/>
        <v>0.17647058823529413</v>
      </c>
    </row>
    <row r="12" spans="1:21" x14ac:dyDescent="0.35">
      <c r="A12" s="2">
        <v>8</v>
      </c>
      <c r="B12" s="20" t="s">
        <v>63</v>
      </c>
      <c r="C12" s="20" t="s">
        <v>63</v>
      </c>
      <c r="D12" s="20" t="s">
        <v>63</v>
      </c>
      <c r="E12" s="20" t="s">
        <v>66</v>
      </c>
      <c r="F12" s="20" t="s">
        <v>64</v>
      </c>
      <c r="I12" s="7" t="s">
        <v>64</v>
      </c>
      <c r="J12" s="2">
        <f t="shared" si="0"/>
        <v>5</v>
      </c>
      <c r="K12" s="2">
        <f t="shared" si="1"/>
        <v>5</v>
      </c>
      <c r="L12" s="2">
        <f t="shared" si="2"/>
        <v>5</v>
      </c>
      <c r="M12" s="2">
        <f t="shared" si="3"/>
        <v>3</v>
      </c>
      <c r="N12" s="2">
        <f t="shared" si="4"/>
        <v>4</v>
      </c>
      <c r="P12" s="7" t="s">
        <v>64</v>
      </c>
      <c r="Q12" s="21">
        <f t="shared" si="5"/>
        <v>0.1388888888888889</v>
      </c>
      <c r="R12" s="21">
        <f t="shared" si="6"/>
        <v>0.1388888888888889</v>
      </c>
      <c r="S12" s="21">
        <f t="shared" si="7"/>
        <v>0.1388888888888889</v>
      </c>
      <c r="T12" s="21">
        <f t="shared" si="8"/>
        <v>8.5714285714285715E-2</v>
      </c>
      <c r="U12" s="21">
        <f t="shared" si="9"/>
        <v>0.11764705882352941</v>
      </c>
    </row>
    <row r="13" spans="1:21" x14ac:dyDescent="0.35">
      <c r="A13" s="2">
        <v>9</v>
      </c>
      <c r="B13" s="20" t="s">
        <v>64</v>
      </c>
      <c r="C13" s="20" t="s">
        <v>64</v>
      </c>
      <c r="D13" s="20" t="s">
        <v>64</v>
      </c>
      <c r="E13" s="20" t="s">
        <v>61</v>
      </c>
      <c r="F13" s="20" t="s">
        <v>57</v>
      </c>
      <c r="I13" s="7" t="s">
        <v>65</v>
      </c>
      <c r="J13" s="2">
        <f t="shared" si="0"/>
        <v>5</v>
      </c>
      <c r="K13" s="2">
        <f t="shared" si="1"/>
        <v>5</v>
      </c>
      <c r="L13" s="2">
        <f t="shared" si="2"/>
        <v>5</v>
      </c>
      <c r="M13" s="2">
        <f t="shared" si="3"/>
        <v>5</v>
      </c>
      <c r="N13" s="2">
        <f t="shared" si="4"/>
        <v>4</v>
      </c>
      <c r="P13" s="7" t="s">
        <v>65</v>
      </c>
      <c r="Q13" s="21">
        <f t="shared" si="5"/>
        <v>0.1388888888888889</v>
      </c>
      <c r="R13" s="21">
        <f t="shared" si="6"/>
        <v>0.1388888888888889</v>
      </c>
      <c r="S13" s="21">
        <f t="shared" si="7"/>
        <v>0.1388888888888889</v>
      </c>
      <c r="T13" s="21">
        <f t="shared" si="8"/>
        <v>0.14285714285714285</v>
      </c>
      <c r="U13" s="21">
        <f t="shared" si="9"/>
        <v>0.11764705882352941</v>
      </c>
    </row>
    <row r="14" spans="1:21" x14ac:dyDescent="0.35">
      <c r="A14" s="2">
        <v>10</v>
      </c>
      <c r="B14" s="20" t="s">
        <v>65</v>
      </c>
      <c r="C14" s="20" t="s">
        <v>65</v>
      </c>
      <c r="D14" s="20" t="s">
        <v>65</v>
      </c>
      <c r="E14" s="20" t="s">
        <v>65</v>
      </c>
      <c r="F14" s="20" t="s">
        <v>65</v>
      </c>
      <c r="I14" s="7" t="s">
        <v>66</v>
      </c>
      <c r="J14" s="2">
        <f t="shared" si="0"/>
        <v>5</v>
      </c>
      <c r="K14" s="2">
        <f t="shared" si="1"/>
        <v>5</v>
      </c>
      <c r="L14" s="2">
        <f t="shared" si="2"/>
        <v>5</v>
      </c>
      <c r="M14" s="2">
        <f t="shared" si="3"/>
        <v>4</v>
      </c>
      <c r="N14" s="2">
        <f t="shared" si="4"/>
        <v>3</v>
      </c>
      <c r="P14" s="7" t="s">
        <v>66</v>
      </c>
      <c r="Q14" s="21">
        <f t="shared" si="5"/>
        <v>0.1388888888888889</v>
      </c>
      <c r="R14" s="21">
        <f t="shared" si="6"/>
        <v>0.1388888888888889</v>
      </c>
      <c r="S14" s="21">
        <f t="shared" si="7"/>
        <v>0.1388888888888889</v>
      </c>
      <c r="T14" s="21">
        <f t="shared" si="8"/>
        <v>0.11428571428571428</v>
      </c>
      <c r="U14" s="21">
        <f t="shared" si="9"/>
        <v>8.8235294117647065E-2</v>
      </c>
    </row>
    <row r="15" spans="1:21" x14ac:dyDescent="0.35">
      <c r="A15" s="2">
        <v>11</v>
      </c>
      <c r="B15" s="20" t="s">
        <v>66</v>
      </c>
      <c r="C15" s="20" t="s">
        <v>66</v>
      </c>
      <c r="D15" s="20" t="s">
        <v>66</v>
      </c>
      <c r="E15" s="20" t="s">
        <v>57</v>
      </c>
      <c r="F15" s="20" t="s">
        <v>55</v>
      </c>
      <c r="I15" s="7" t="s">
        <v>92</v>
      </c>
      <c r="J15" s="7">
        <f>COUNTA(B$5:B$54)</f>
        <v>36</v>
      </c>
      <c r="K15" s="7">
        <f>COUNTA(C$5:C$54)</f>
        <v>36</v>
      </c>
      <c r="L15" s="7">
        <f>COUNTA(D$5:D$54)</f>
        <v>36</v>
      </c>
      <c r="M15" s="7">
        <f>COUNTA(E$5:E$54)</f>
        <v>35</v>
      </c>
      <c r="N15" s="7">
        <f>COUNTA(F$5:F$54)</f>
        <v>34</v>
      </c>
      <c r="P15" s="7" t="s">
        <v>93</v>
      </c>
      <c r="Q15" s="22">
        <f>SUM(Q5:Q14)</f>
        <v>0.99999999999999978</v>
      </c>
      <c r="R15" s="22">
        <f>SUM(R5:R14)</f>
        <v>0.99999999999999978</v>
      </c>
      <c r="S15" s="22">
        <f>SUM(S5:S14)</f>
        <v>0.99999999999999978</v>
      </c>
      <c r="T15" s="22">
        <f>SUM(T5:T14)</f>
        <v>1.0000000000000002</v>
      </c>
      <c r="U15" s="22">
        <f>SUM(U5:U14)</f>
        <v>1</v>
      </c>
    </row>
    <row r="16" spans="1:21" x14ac:dyDescent="0.35">
      <c r="A16" s="2">
        <v>12</v>
      </c>
      <c r="B16" s="20" t="s">
        <v>55</v>
      </c>
      <c r="C16" s="20" t="s">
        <v>55</v>
      </c>
      <c r="D16" s="20" t="s">
        <v>59</v>
      </c>
      <c r="E16" s="20" t="s">
        <v>63</v>
      </c>
      <c r="F16" s="20" t="s">
        <v>63</v>
      </c>
    </row>
    <row r="17" spans="1:6" x14ac:dyDescent="0.35">
      <c r="A17" s="2">
        <v>13</v>
      </c>
      <c r="B17" s="20" t="s">
        <v>57</v>
      </c>
      <c r="C17" s="20" t="s">
        <v>57</v>
      </c>
      <c r="D17" s="20" t="s">
        <v>61</v>
      </c>
      <c r="E17" s="20" t="s">
        <v>51</v>
      </c>
      <c r="F17" s="20" t="s">
        <v>66</v>
      </c>
    </row>
    <row r="18" spans="1:6" x14ac:dyDescent="0.35">
      <c r="A18" s="2">
        <v>14</v>
      </c>
      <c r="B18" s="20" t="s">
        <v>59</v>
      </c>
      <c r="C18" s="20" t="s">
        <v>59</v>
      </c>
      <c r="D18" s="20" t="s">
        <v>51</v>
      </c>
      <c r="E18" s="20" t="s">
        <v>66</v>
      </c>
      <c r="F18" s="20" t="s">
        <v>59</v>
      </c>
    </row>
    <row r="19" spans="1:6" x14ac:dyDescent="0.35">
      <c r="A19" s="2">
        <v>15</v>
      </c>
      <c r="B19" s="20" t="s">
        <v>63</v>
      </c>
      <c r="C19" s="20" t="s">
        <v>63</v>
      </c>
      <c r="D19" s="20" t="s">
        <v>63</v>
      </c>
      <c r="E19" s="20" t="s">
        <v>61</v>
      </c>
      <c r="F19" s="20" t="s">
        <v>61</v>
      </c>
    </row>
    <row r="20" spans="1:6" x14ac:dyDescent="0.35">
      <c r="A20" s="2">
        <v>16</v>
      </c>
      <c r="B20" s="20" t="s">
        <v>64</v>
      </c>
      <c r="C20" s="20" t="s">
        <v>64</v>
      </c>
      <c r="D20" s="20" t="s">
        <v>64</v>
      </c>
      <c r="E20" s="20" t="s">
        <v>65</v>
      </c>
      <c r="F20" s="20" t="s">
        <v>57</v>
      </c>
    </row>
    <row r="21" spans="1:6" x14ac:dyDescent="0.35">
      <c r="A21" s="2">
        <v>17</v>
      </c>
      <c r="B21" s="20" t="s">
        <v>65</v>
      </c>
      <c r="C21" s="20" t="s">
        <v>65</v>
      </c>
      <c r="D21" s="20" t="s">
        <v>65</v>
      </c>
      <c r="E21" s="20" t="s">
        <v>63</v>
      </c>
      <c r="F21" s="20" t="s">
        <v>64</v>
      </c>
    </row>
    <row r="22" spans="1:6" x14ac:dyDescent="0.35">
      <c r="A22" s="2">
        <v>18</v>
      </c>
      <c r="B22" s="20" t="s">
        <v>66</v>
      </c>
      <c r="C22" s="20" t="s">
        <v>66</v>
      </c>
      <c r="D22" s="20" t="s">
        <v>66</v>
      </c>
      <c r="E22" s="20" t="s">
        <v>55</v>
      </c>
      <c r="F22" s="20" t="s">
        <v>63</v>
      </c>
    </row>
    <row r="23" spans="1:6" x14ac:dyDescent="0.35">
      <c r="A23" s="2">
        <v>19</v>
      </c>
      <c r="B23" s="20" t="s">
        <v>61</v>
      </c>
      <c r="C23" s="20" t="s">
        <v>51</v>
      </c>
      <c r="D23" s="20" t="s">
        <v>55</v>
      </c>
      <c r="E23" s="20" t="s">
        <v>64</v>
      </c>
      <c r="F23" s="20" t="s">
        <v>65</v>
      </c>
    </row>
    <row r="24" spans="1:6" x14ac:dyDescent="0.35">
      <c r="A24" s="2">
        <v>20</v>
      </c>
      <c r="B24" s="20" t="s">
        <v>55</v>
      </c>
      <c r="C24" s="20" t="s">
        <v>55</v>
      </c>
      <c r="D24" s="20" t="s">
        <v>57</v>
      </c>
      <c r="E24" s="20" t="s">
        <v>53</v>
      </c>
      <c r="F24" s="20" t="s">
        <v>53</v>
      </c>
    </row>
    <row r="25" spans="1:6" x14ac:dyDescent="0.35">
      <c r="A25" s="2">
        <v>21</v>
      </c>
      <c r="B25" s="20" t="s">
        <v>57</v>
      </c>
      <c r="C25" s="20" t="s">
        <v>57</v>
      </c>
      <c r="D25" s="20" t="s">
        <v>59</v>
      </c>
      <c r="E25" s="20" t="s">
        <v>59</v>
      </c>
      <c r="F25" s="20" t="s">
        <v>59</v>
      </c>
    </row>
    <row r="26" spans="1:6" x14ac:dyDescent="0.35">
      <c r="A26" s="2">
        <v>22</v>
      </c>
      <c r="B26" s="20" t="s">
        <v>59</v>
      </c>
      <c r="C26" s="20" t="s">
        <v>63</v>
      </c>
      <c r="D26" s="20" t="s">
        <v>63</v>
      </c>
      <c r="E26" s="20" t="s">
        <v>63</v>
      </c>
      <c r="F26" s="20" t="s">
        <v>57</v>
      </c>
    </row>
    <row r="27" spans="1:6" x14ac:dyDescent="0.35">
      <c r="A27" s="2">
        <v>23</v>
      </c>
      <c r="B27" s="20" t="s">
        <v>63</v>
      </c>
      <c r="C27" s="20" t="s">
        <v>64</v>
      </c>
      <c r="D27" s="20" t="s">
        <v>64</v>
      </c>
      <c r="E27" s="20" t="s">
        <v>61</v>
      </c>
      <c r="F27" s="20" t="s">
        <v>63</v>
      </c>
    </row>
    <row r="28" spans="1:6" x14ac:dyDescent="0.35">
      <c r="A28" s="2">
        <v>24</v>
      </c>
      <c r="B28" s="20" t="s">
        <v>64</v>
      </c>
      <c r="C28" s="20" t="s">
        <v>65</v>
      </c>
      <c r="D28" s="20" t="s">
        <v>65</v>
      </c>
      <c r="E28" s="20" t="s">
        <v>65</v>
      </c>
      <c r="F28" s="20" t="s">
        <v>61</v>
      </c>
    </row>
    <row r="29" spans="1:6" x14ac:dyDescent="0.35">
      <c r="A29" s="2">
        <v>25</v>
      </c>
      <c r="B29" s="20" t="s">
        <v>65</v>
      </c>
      <c r="C29" s="20" t="s">
        <v>66</v>
      </c>
      <c r="D29" s="20" t="s">
        <v>66</v>
      </c>
      <c r="E29" s="20" t="s">
        <v>55</v>
      </c>
      <c r="F29" s="20" t="s">
        <v>64</v>
      </c>
    </row>
    <row r="30" spans="1:6" x14ac:dyDescent="0.35">
      <c r="A30" s="2">
        <v>26</v>
      </c>
      <c r="B30" s="20" t="s">
        <v>66</v>
      </c>
      <c r="C30" s="20" t="s">
        <v>61</v>
      </c>
      <c r="D30" s="20" t="s">
        <v>61</v>
      </c>
      <c r="E30" s="20" t="s">
        <v>66</v>
      </c>
      <c r="F30" s="20" t="s">
        <v>65</v>
      </c>
    </row>
    <row r="31" spans="1:6" x14ac:dyDescent="0.35">
      <c r="A31" s="2">
        <v>27</v>
      </c>
      <c r="B31" s="20" t="s">
        <v>61</v>
      </c>
      <c r="C31" s="20" t="s">
        <v>59</v>
      </c>
      <c r="D31" s="20" t="s">
        <v>55</v>
      </c>
      <c r="E31" s="20" t="s">
        <v>63</v>
      </c>
      <c r="F31" s="20" t="s">
        <v>55</v>
      </c>
    </row>
    <row r="32" spans="1:6" x14ac:dyDescent="0.35">
      <c r="A32" s="2">
        <v>28</v>
      </c>
      <c r="B32" s="20" t="s">
        <v>53</v>
      </c>
      <c r="C32" s="20" t="s">
        <v>55</v>
      </c>
      <c r="D32" s="20" t="s">
        <v>51</v>
      </c>
      <c r="E32" s="20" t="s">
        <v>64</v>
      </c>
      <c r="F32" s="20" t="s">
        <v>66</v>
      </c>
    </row>
    <row r="33" spans="1:6" x14ac:dyDescent="0.35">
      <c r="A33" s="2">
        <v>29</v>
      </c>
      <c r="B33" s="20" t="s">
        <v>57</v>
      </c>
      <c r="C33" s="20" t="s">
        <v>57</v>
      </c>
      <c r="D33" s="20" t="s">
        <v>63</v>
      </c>
      <c r="E33" s="20" t="s">
        <v>51</v>
      </c>
      <c r="F33" s="20" t="s">
        <v>63</v>
      </c>
    </row>
    <row r="34" spans="1:6" x14ac:dyDescent="0.35">
      <c r="A34" s="2">
        <v>30</v>
      </c>
      <c r="B34" s="20" t="s">
        <v>63</v>
      </c>
      <c r="C34" s="20" t="s">
        <v>63</v>
      </c>
      <c r="D34" s="20" t="s">
        <v>64</v>
      </c>
      <c r="E34" s="20" t="s">
        <v>61</v>
      </c>
      <c r="F34" s="20" t="s">
        <v>57</v>
      </c>
    </row>
    <row r="35" spans="1:6" x14ac:dyDescent="0.35">
      <c r="A35" s="2">
        <v>31</v>
      </c>
      <c r="B35" s="20" t="s">
        <v>64</v>
      </c>
      <c r="C35" s="20" t="s">
        <v>64</v>
      </c>
      <c r="D35" s="20" t="s">
        <v>65</v>
      </c>
      <c r="E35" s="20" t="s">
        <v>65</v>
      </c>
      <c r="F35" s="20" t="s">
        <v>59</v>
      </c>
    </row>
    <row r="36" spans="1:6" x14ac:dyDescent="0.35">
      <c r="A36" s="2">
        <v>32</v>
      </c>
      <c r="B36" s="20" t="s">
        <v>65</v>
      </c>
      <c r="C36" s="20" t="s">
        <v>65</v>
      </c>
      <c r="D36" s="20" t="s">
        <v>66</v>
      </c>
      <c r="E36" s="20" t="s">
        <v>63</v>
      </c>
      <c r="F36" s="20" t="s">
        <v>61</v>
      </c>
    </row>
    <row r="37" spans="1:6" x14ac:dyDescent="0.35">
      <c r="A37" s="2">
        <v>33</v>
      </c>
      <c r="B37" s="20" t="s">
        <v>66</v>
      </c>
      <c r="C37" s="20" t="s">
        <v>66</v>
      </c>
      <c r="D37" s="20" t="s">
        <v>57</v>
      </c>
      <c r="E37" s="20" t="s">
        <v>55</v>
      </c>
      <c r="F37" s="20" t="s">
        <v>64</v>
      </c>
    </row>
    <row r="38" spans="1:6" x14ac:dyDescent="0.35">
      <c r="A38" s="2">
        <v>34</v>
      </c>
      <c r="B38" s="20" t="s">
        <v>59</v>
      </c>
      <c r="C38" s="20" t="s">
        <v>51</v>
      </c>
      <c r="D38" s="20" t="s">
        <v>59</v>
      </c>
      <c r="E38" s="20" t="s">
        <v>57</v>
      </c>
      <c r="F38" s="20" t="s">
        <v>65</v>
      </c>
    </row>
    <row r="39" spans="1:6" x14ac:dyDescent="0.35">
      <c r="A39" s="2">
        <v>35</v>
      </c>
      <c r="B39" s="20" t="s">
        <v>61</v>
      </c>
      <c r="C39" s="20" t="s">
        <v>59</v>
      </c>
      <c r="D39" s="20" t="s">
        <v>55</v>
      </c>
      <c r="E39" s="20" t="s">
        <v>66</v>
      </c>
    </row>
    <row r="40" spans="1:6" x14ac:dyDescent="0.35">
      <c r="A40" s="2">
        <v>36</v>
      </c>
      <c r="B40" s="20" t="s">
        <v>55</v>
      </c>
      <c r="C40" s="20" t="s">
        <v>55</v>
      </c>
      <c r="D40" s="20" t="s">
        <v>61</v>
      </c>
    </row>
    <row r="41" spans="1:6" x14ac:dyDescent="0.35">
      <c r="A41" s="2">
        <v>37</v>
      </c>
    </row>
    <row r="42" spans="1:6" x14ac:dyDescent="0.35">
      <c r="A42" s="2">
        <v>38</v>
      </c>
    </row>
    <row r="43" spans="1:6" x14ac:dyDescent="0.35">
      <c r="A43" s="2">
        <v>39</v>
      </c>
    </row>
    <row r="44" spans="1:6" x14ac:dyDescent="0.35">
      <c r="A44" s="2">
        <v>40</v>
      </c>
    </row>
    <row r="45" spans="1:6" x14ac:dyDescent="0.35">
      <c r="A45" s="2">
        <v>41</v>
      </c>
    </row>
    <row r="46" spans="1:6" x14ac:dyDescent="0.35">
      <c r="A46" s="2">
        <v>42</v>
      </c>
    </row>
    <row r="47" spans="1:6" x14ac:dyDescent="0.35">
      <c r="A47" s="2">
        <v>43</v>
      </c>
    </row>
    <row r="48" spans="1:6" x14ac:dyDescent="0.35">
      <c r="A48" s="2">
        <v>44</v>
      </c>
    </row>
    <row r="49" spans="1:1" x14ac:dyDescent="0.35">
      <c r="A49" s="2">
        <v>45</v>
      </c>
    </row>
    <row r="50" spans="1:1" x14ac:dyDescent="0.35">
      <c r="A50" s="2">
        <v>46</v>
      </c>
    </row>
    <row r="51" spans="1:1" x14ac:dyDescent="0.35">
      <c r="A51" s="2">
        <v>47</v>
      </c>
    </row>
    <row r="52" spans="1:1" x14ac:dyDescent="0.35">
      <c r="A52" s="2">
        <v>48</v>
      </c>
    </row>
    <row r="53" spans="1:1" x14ac:dyDescent="0.35">
      <c r="A53" s="2">
        <v>49</v>
      </c>
    </row>
    <row r="54" spans="1:1" x14ac:dyDescent="0.35">
      <c r="A54" s="2">
        <v>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4"/>
  <sheetViews>
    <sheetView zoomScaleNormal="100" workbookViewId="0"/>
  </sheetViews>
  <sheetFormatPr defaultColWidth="8.6328125" defaultRowHeight="14.5" x14ac:dyDescent="0.35"/>
  <cols>
    <col min="1" max="1" width="6" customWidth="1"/>
    <col min="2" max="6" width="8" customWidth="1"/>
    <col min="9" max="9" width="14" customWidth="1"/>
    <col min="16" max="16" width="14" customWidth="1"/>
  </cols>
  <sheetData>
    <row r="1" spans="1:21" ht="18" x14ac:dyDescent="0.4">
      <c r="A1" s="1" t="s">
        <v>94</v>
      </c>
    </row>
    <row r="2" spans="1:21" x14ac:dyDescent="0.35">
      <c r="A2" s="2" t="s">
        <v>83</v>
      </c>
    </row>
    <row r="3" spans="1:21" x14ac:dyDescent="0.35">
      <c r="I3" s="7" t="s">
        <v>84</v>
      </c>
      <c r="P3" s="7" t="s">
        <v>85</v>
      </c>
    </row>
    <row r="4" spans="1:21" x14ac:dyDescent="0.35">
      <c r="A4" s="3" t="s">
        <v>86</v>
      </c>
      <c r="B4" s="3" t="s">
        <v>87</v>
      </c>
      <c r="C4" s="3" t="s">
        <v>88</v>
      </c>
      <c r="D4" s="3" t="s">
        <v>89</v>
      </c>
      <c r="E4" s="3" t="s">
        <v>90</v>
      </c>
      <c r="F4" s="3" t="s">
        <v>91</v>
      </c>
      <c r="I4" s="3" t="s">
        <v>46</v>
      </c>
      <c r="J4" s="3" t="s">
        <v>87</v>
      </c>
      <c r="K4" s="3" t="s">
        <v>88</v>
      </c>
      <c r="L4" s="3" t="s">
        <v>89</v>
      </c>
      <c r="M4" s="3" t="s">
        <v>90</v>
      </c>
      <c r="N4" s="3" t="s">
        <v>91</v>
      </c>
      <c r="P4" s="3" t="s">
        <v>46</v>
      </c>
      <c r="Q4" s="3" t="s">
        <v>87</v>
      </c>
      <c r="R4" s="3" t="s">
        <v>88</v>
      </c>
      <c r="S4" s="3" t="s">
        <v>89</v>
      </c>
      <c r="T4" s="3" t="s">
        <v>90</v>
      </c>
      <c r="U4" s="3" t="s">
        <v>91</v>
      </c>
    </row>
    <row r="5" spans="1:21" x14ac:dyDescent="0.35">
      <c r="A5" s="2">
        <v>1</v>
      </c>
      <c r="B5" s="20" t="s">
        <v>55</v>
      </c>
      <c r="C5" s="20" t="s">
        <v>51</v>
      </c>
      <c r="D5" s="20" t="s">
        <v>51</v>
      </c>
      <c r="E5" s="20" t="s">
        <v>51</v>
      </c>
      <c r="F5" s="20" t="s">
        <v>63</v>
      </c>
      <c r="I5" s="7" t="s">
        <v>51</v>
      </c>
      <c r="J5" s="2">
        <f t="shared" ref="J5:J14" si="0">COUNTIF(B$5:B$54,$I5)</f>
        <v>0</v>
      </c>
      <c r="K5" s="2">
        <f t="shared" ref="K5:K14" si="1">COUNTIF(C$5:C$54,$I5)</f>
        <v>4</v>
      </c>
      <c r="L5" s="2">
        <f t="shared" ref="L5:L14" si="2">COUNTIF(D$5:D$54,$I5)</f>
        <v>4</v>
      </c>
      <c r="M5" s="2">
        <f t="shared" ref="M5:M14" si="3">COUNTIF(E$5:E$54,$I5)</f>
        <v>4</v>
      </c>
      <c r="N5" s="2">
        <f t="shared" ref="N5:N14" si="4">COUNTIF(F$5:F$54,$I5)</f>
        <v>0</v>
      </c>
      <c r="P5" s="7" t="s">
        <v>51</v>
      </c>
      <c r="Q5" s="21">
        <f t="shared" ref="Q5:Q14" si="5">J5/J$15</f>
        <v>0</v>
      </c>
      <c r="R5" s="21">
        <f t="shared" ref="R5:R14" si="6">K5/K$15</f>
        <v>0.14285714285714285</v>
      </c>
      <c r="S5" s="21">
        <f t="shared" ref="S5:S14" si="7">L5/L$15</f>
        <v>0.14285714285714285</v>
      </c>
      <c r="T5" s="21">
        <f t="shared" ref="T5:T14" si="8">M5/M$15</f>
        <v>0.14285714285714285</v>
      </c>
      <c r="U5" s="21">
        <f t="shared" ref="U5:U14" si="9">N5/N$15</f>
        <v>0</v>
      </c>
    </row>
    <row r="6" spans="1:21" x14ac:dyDescent="0.35">
      <c r="A6" s="2">
        <v>2</v>
      </c>
      <c r="B6" s="20" t="s">
        <v>57</v>
      </c>
      <c r="C6" s="20" t="s">
        <v>59</v>
      </c>
      <c r="D6" s="20" t="s">
        <v>63</v>
      </c>
      <c r="E6" s="20" t="s">
        <v>65</v>
      </c>
      <c r="F6" s="20" t="s">
        <v>64</v>
      </c>
      <c r="I6" s="7" t="s">
        <v>53</v>
      </c>
      <c r="J6" s="2">
        <f t="shared" si="0"/>
        <v>1</v>
      </c>
      <c r="K6" s="2">
        <f t="shared" si="1"/>
        <v>1</v>
      </c>
      <c r="L6" s="2">
        <f t="shared" si="2"/>
        <v>1</v>
      </c>
      <c r="M6" s="2">
        <f t="shared" si="3"/>
        <v>1</v>
      </c>
      <c r="N6" s="2">
        <f t="shared" si="4"/>
        <v>1</v>
      </c>
      <c r="P6" s="7" t="s">
        <v>53</v>
      </c>
      <c r="Q6" s="21">
        <f t="shared" si="5"/>
        <v>4.1666666666666664E-2</v>
      </c>
      <c r="R6" s="21">
        <f t="shared" si="6"/>
        <v>3.5714285714285712E-2</v>
      </c>
      <c r="S6" s="21">
        <f t="shared" si="7"/>
        <v>3.5714285714285712E-2</v>
      </c>
      <c r="T6" s="21">
        <f t="shared" si="8"/>
        <v>3.5714285714285712E-2</v>
      </c>
      <c r="U6" s="21">
        <f t="shared" si="9"/>
        <v>4.1666666666666664E-2</v>
      </c>
    </row>
    <row r="7" spans="1:21" x14ac:dyDescent="0.35">
      <c r="A7" s="2">
        <v>3</v>
      </c>
      <c r="B7" s="20" t="s">
        <v>59</v>
      </c>
      <c r="C7" s="20" t="s">
        <v>61</v>
      </c>
      <c r="D7" s="20" t="s">
        <v>64</v>
      </c>
      <c r="E7" s="20" t="s">
        <v>66</v>
      </c>
      <c r="F7" s="20" t="s">
        <v>65</v>
      </c>
      <c r="I7" s="7" t="s">
        <v>55</v>
      </c>
      <c r="J7" s="2">
        <f t="shared" si="0"/>
        <v>3</v>
      </c>
      <c r="K7" s="2">
        <f t="shared" si="1"/>
        <v>3</v>
      </c>
      <c r="L7" s="2">
        <f t="shared" si="2"/>
        <v>3</v>
      </c>
      <c r="M7" s="2">
        <f t="shared" si="3"/>
        <v>3</v>
      </c>
      <c r="N7" s="2">
        <f t="shared" si="4"/>
        <v>3</v>
      </c>
      <c r="P7" s="7" t="s">
        <v>55</v>
      </c>
      <c r="Q7" s="21">
        <f t="shared" si="5"/>
        <v>0.125</v>
      </c>
      <c r="R7" s="21">
        <f t="shared" si="6"/>
        <v>0.10714285714285714</v>
      </c>
      <c r="S7" s="21">
        <f t="shared" si="7"/>
        <v>0.10714285714285714</v>
      </c>
      <c r="T7" s="21">
        <f t="shared" si="8"/>
        <v>0.10714285714285714</v>
      </c>
      <c r="U7" s="21">
        <f t="shared" si="9"/>
        <v>0.125</v>
      </c>
    </row>
    <row r="8" spans="1:21" x14ac:dyDescent="0.35">
      <c r="A8" s="2">
        <v>4</v>
      </c>
      <c r="B8" s="20" t="s">
        <v>61</v>
      </c>
      <c r="C8" s="20" t="s">
        <v>63</v>
      </c>
      <c r="D8" s="20" t="s">
        <v>65</v>
      </c>
      <c r="E8" s="20" t="s">
        <v>55</v>
      </c>
      <c r="F8" s="20" t="s">
        <v>66</v>
      </c>
      <c r="I8" s="7" t="s">
        <v>57</v>
      </c>
      <c r="J8" s="2">
        <f t="shared" si="0"/>
        <v>3</v>
      </c>
      <c r="K8" s="2">
        <f t="shared" si="1"/>
        <v>3</v>
      </c>
      <c r="L8" s="2">
        <f t="shared" si="2"/>
        <v>3</v>
      </c>
      <c r="M8" s="2">
        <f t="shared" si="3"/>
        <v>3</v>
      </c>
      <c r="N8" s="2">
        <f t="shared" si="4"/>
        <v>3</v>
      </c>
      <c r="P8" s="7" t="s">
        <v>57</v>
      </c>
      <c r="Q8" s="21">
        <f t="shared" si="5"/>
        <v>0.125</v>
      </c>
      <c r="R8" s="21">
        <f t="shared" si="6"/>
        <v>0.10714285714285714</v>
      </c>
      <c r="S8" s="21">
        <f t="shared" si="7"/>
        <v>0.10714285714285714</v>
      </c>
      <c r="T8" s="21">
        <f t="shared" si="8"/>
        <v>0.10714285714285714</v>
      </c>
      <c r="U8" s="21">
        <f t="shared" si="9"/>
        <v>0.125</v>
      </c>
    </row>
    <row r="9" spans="1:21" x14ac:dyDescent="0.35">
      <c r="A9" s="2">
        <v>5</v>
      </c>
      <c r="B9" s="20" t="s">
        <v>63</v>
      </c>
      <c r="C9" s="20" t="s">
        <v>64</v>
      </c>
      <c r="D9" s="20" t="s">
        <v>53</v>
      </c>
      <c r="E9" s="20" t="s">
        <v>57</v>
      </c>
      <c r="F9" s="20" t="s">
        <v>55</v>
      </c>
      <c r="I9" s="7" t="s">
        <v>59</v>
      </c>
      <c r="J9" s="2">
        <f t="shared" si="0"/>
        <v>3</v>
      </c>
      <c r="K9" s="2">
        <f t="shared" si="1"/>
        <v>3</v>
      </c>
      <c r="L9" s="2">
        <f t="shared" si="2"/>
        <v>3</v>
      </c>
      <c r="M9" s="2">
        <f t="shared" si="3"/>
        <v>3</v>
      </c>
      <c r="N9" s="2">
        <f t="shared" si="4"/>
        <v>3</v>
      </c>
      <c r="P9" s="7" t="s">
        <v>59</v>
      </c>
      <c r="Q9" s="21">
        <f t="shared" si="5"/>
        <v>0.125</v>
      </c>
      <c r="R9" s="21">
        <f t="shared" si="6"/>
        <v>0.10714285714285714</v>
      </c>
      <c r="S9" s="21">
        <f t="shared" si="7"/>
        <v>0.10714285714285714</v>
      </c>
      <c r="T9" s="21">
        <f t="shared" si="8"/>
        <v>0.10714285714285714</v>
      </c>
      <c r="U9" s="21">
        <f t="shared" si="9"/>
        <v>0.125</v>
      </c>
    </row>
    <row r="10" spans="1:21" x14ac:dyDescent="0.35">
      <c r="A10" s="2">
        <v>6</v>
      </c>
      <c r="B10" s="20" t="s">
        <v>64</v>
      </c>
      <c r="C10" s="20" t="s">
        <v>65</v>
      </c>
      <c r="D10" s="20" t="s">
        <v>55</v>
      </c>
      <c r="E10" s="20" t="s">
        <v>59</v>
      </c>
      <c r="F10" s="20" t="s">
        <v>57</v>
      </c>
      <c r="I10" s="7" t="s">
        <v>61</v>
      </c>
      <c r="J10" s="2">
        <f t="shared" si="0"/>
        <v>3</v>
      </c>
      <c r="K10" s="2">
        <f t="shared" si="1"/>
        <v>3</v>
      </c>
      <c r="L10" s="2">
        <f t="shared" si="2"/>
        <v>3</v>
      </c>
      <c r="M10" s="2">
        <f t="shared" si="3"/>
        <v>3</v>
      </c>
      <c r="N10" s="2">
        <f t="shared" si="4"/>
        <v>3</v>
      </c>
      <c r="P10" s="7" t="s">
        <v>61</v>
      </c>
      <c r="Q10" s="21">
        <f t="shared" si="5"/>
        <v>0.125</v>
      </c>
      <c r="R10" s="21">
        <f t="shared" si="6"/>
        <v>0.10714285714285714</v>
      </c>
      <c r="S10" s="21">
        <f t="shared" si="7"/>
        <v>0.10714285714285714</v>
      </c>
      <c r="T10" s="21">
        <f t="shared" si="8"/>
        <v>0.10714285714285714</v>
      </c>
      <c r="U10" s="21">
        <f t="shared" si="9"/>
        <v>0.125</v>
      </c>
    </row>
    <row r="11" spans="1:21" x14ac:dyDescent="0.35">
      <c r="A11" s="2">
        <v>7</v>
      </c>
      <c r="B11" s="20" t="s">
        <v>65</v>
      </c>
      <c r="C11" s="20" t="s">
        <v>66</v>
      </c>
      <c r="D11" s="20" t="s">
        <v>57</v>
      </c>
      <c r="E11" s="20" t="s">
        <v>61</v>
      </c>
      <c r="F11" s="20" t="s">
        <v>59</v>
      </c>
      <c r="I11" s="7" t="s">
        <v>63</v>
      </c>
      <c r="J11" s="2">
        <f t="shared" si="0"/>
        <v>3</v>
      </c>
      <c r="K11" s="2">
        <f t="shared" si="1"/>
        <v>3</v>
      </c>
      <c r="L11" s="2">
        <f t="shared" si="2"/>
        <v>3</v>
      </c>
      <c r="M11" s="2">
        <f t="shared" si="3"/>
        <v>3</v>
      </c>
      <c r="N11" s="2">
        <f t="shared" si="4"/>
        <v>3</v>
      </c>
      <c r="P11" s="7" t="s">
        <v>63</v>
      </c>
      <c r="Q11" s="21">
        <f t="shared" si="5"/>
        <v>0.125</v>
      </c>
      <c r="R11" s="21">
        <f t="shared" si="6"/>
        <v>0.10714285714285714</v>
      </c>
      <c r="S11" s="21">
        <f t="shared" si="7"/>
        <v>0.10714285714285714</v>
      </c>
      <c r="T11" s="21">
        <f t="shared" si="8"/>
        <v>0.10714285714285714</v>
      </c>
      <c r="U11" s="21">
        <f t="shared" si="9"/>
        <v>0.125</v>
      </c>
    </row>
    <row r="12" spans="1:21" x14ac:dyDescent="0.35">
      <c r="A12" s="2">
        <v>8</v>
      </c>
      <c r="B12" s="20" t="s">
        <v>66</v>
      </c>
      <c r="C12" s="20" t="s">
        <v>51</v>
      </c>
      <c r="D12" s="20" t="s">
        <v>51</v>
      </c>
      <c r="E12" s="20" t="s">
        <v>51</v>
      </c>
      <c r="F12" s="20" t="s">
        <v>61</v>
      </c>
      <c r="I12" s="7" t="s">
        <v>64</v>
      </c>
      <c r="J12" s="2">
        <f t="shared" si="0"/>
        <v>3</v>
      </c>
      <c r="K12" s="2">
        <f t="shared" si="1"/>
        <v>3</v>
      </c>
      <c r="L12" s="2">
        <f t="shared" si="2"/>
        <v>3</v>
      </c>
      <c r="M12" s="2">
        <f t="shared" si="3"/>
        <v>3</v>
      </c>
      <c r="N12" s="2">
        <f t="shared" si="4"/>
        <v>3</v>
      </c>
      <c r="P12" s="7" t="s">
        <v>64</v>
      </c>
      <c r="Q12" s="21">
        <f t="shared" si="5"/>
        <v>0.125</v>
      </c>
      <c r="R12" s="21">
        <f t="shared" si="6"/>
        <v>0.10714285714285714</v>
      </c>
      <c r="S12" s="21">
        <f t="shared" si="7"/>
        <v>0.10714285714285714</v>
      </c>
      <c r="T12" s="21">
        <f t="shared" si="8"/>
        <v>0.10714285714285714</v>
      </c>
      <c r="U12" s="21">
        <f t="shared" si="9"/>
        <v>0.125</v>
      </c>
    </row>
    <row r="13" spans="1:21" x14ac:dyDescent="0.35">
      <c r="A13" s="2">
        <v>9</v>
      </c>
      <c r="B13" s="20" t="s">
        <v>55</v>
      </c>
      <c r="C13" s="20" t="s">
        <v>55</v>
      </c>
      <c r="D13" s="20" t="s">
        <v>59</v>
      </c>
      <c r="E13" s="20" t="s">
        <v>63</v>
      </c>
      <c r="F13" s="20" t="s">
        <v>63</v>
      </c>
      <c r="I13" s="7" t="s">
        <v>65</v>
      </c>
      <c r="J13" s="2">
        <f t="shared" si="0"/>
        <v>3</v>
      </c>
      <c r="K13" s="2">
        <f t="shared" si="1"/>
        <v>3</v>
      </c>
      <c r="L13" s="2">
        <f t="shared" si="2"/>
        <v>3</v>
      </c>
      <c r="M13" s="2">
        <f t="shared" si="3"/>
        <v>3</v>
      </c>
      <c r="N13" s="2">
        <f t="shared" si="4"/>
        <v>3</v>
      </c>
      <c r="P13" s="7" t="s">
        <v>65</v>
      </c>
      <c r="Q13" s="21">
        <f t="shared" si="5"/>
        <v>0.125</v>
      </c>
      <c r="R13" s="21">
        <f t="shared" si="6"/>
        <v>0.10714285714285714</v>
      </c>
      <c r="S13" s="21">
        <f t="shared" si="7"/>
        <v>0.10714285714285714</v>
      </c>
      <c r="T13" s="21">
        <f t="shared" si="8"/>
        <v>0.10714285714285714</v>
      </c>
      <c r="U13" s="21">
        <f t="shared" si="9"/>
        <v>0.125</v>
      </c>
    </row>
    <row r="14" spans="1:21" x14ac:dyDescent="0.35">
      <c r="A14" s="2">
        <v>10</v>
      </c>
      <c r="B14" s="20" t="s">
        <v>57</v>
      </c>
      <c r="C14" s="20" t="s">
        <v>57</v>
      </c>
      <c r="D14" s="20" t="s">
        <v>61</v>
      </c>
      <c r="E14" s="20" t="s">
        <v>64</v>
      </c>
      <c r="F14" s="20" t="s">
        <v>64</v>
      </c>
      <c r="I14" s="7" t="s">
        <v>66</v>
      </c>
      <c r="J14" s="2">
        <f t="shared" si="0"/>
        <v>2</v>
      </c>
      <c r="K14" s="2">
        <f t="shared" si="1"/>
        <v>2</v>
      </c>
      <c r="L14" s="2">
        <f t="shared" si="2"/>
        <v>2</v>
      </c>
      <c r="M14" s="2">
        <f t="shared" si="3"/>
        <v>2</v>
      </c>
      <c r="N14" s="2">
        <f t="shared" si="4"/>
        <v>2</v>
      </c>
      <c r="P14" s="7" t="s">
        <v>66</v>
      </c>
      <c r="Q14" s="21">
        <f t="shared" si="5"/>
        <v>8.3333333333333329E-2</v>
      </c>
      <c r="R14" s="21">
        <f t="shared" si="6"/>
        <v>7.1428571428571425E-2</v>
      </c>
      <c r="S14" s="21">
        <f t="shared" si="7"/>
        <v>7.1428571428571425E-2</v>
      </c>
      <c r="T14" s="21">
        <f t="shared" si="8"/>
        <v>7.1428571428571425E-2</v>
      </c>
      <c r="U14" s="21">
        <f t="shared" si="9"/>
        <v>8.3333333333333329E-2</v>
      </c>
    </row>
    <row r="15" spans="1:21" x14ac:dyDescent="0.35">
      <c r="A15" s="2">
        <v>11</v>
      </c>
      <c r="B15" s="20" t="s">
        <v>59</v>
      </c>
      <c r="C15" s="20" t="s">
        <v>59</v>
      </c>
      <c r="D15" s="20" t="s">
        <v>63</v>
      </c>
      <c r="E15" s="20" t="s">
        <v>65</v>
      </c>
      <c r="F15" s="20" t="s">
        <v>65</v>
      </c>
      <c r="I15" s="7" t="s">
        <v>92</v>
      </c>
      <c r="J15" s="7">
        <f>COUNTA(B$5:B$54)</f>
        <v>24</v>
      </c>
      <c r="K15" s="7">
        <f>COUNTA(C$5:C$54)</f>
        <v>28</v>
      </c>
      <c r="L15" s="7">
        <f>COUNTA(D$5:D$54)</f>
        <v>28</v>
      </c>
      <c r="M15" s="7">
        <f>COUNTA(E$5:E$54)</f>
        <v>28</v>
      </c>
      <c r="N15" s="7">
        <f>COUNTA(F$5:F$54)</f>
        <v>24</v>
      </c>
      <c r="P15" s="7" t="s">
        <v>93</v>
      </c>
      <c r="Q15" s="22">
        <f>SUM(Q5:Q14)</f>
        <v>1</v>
      </c>
      <c r="R15" s="22">
        <f>SUM(R5:R14)</f>
        <v>0.99999999999999978</v>
      </c>
      <c r="S15" s="22">
        <f>SUM(S5:S14)</f>
        <v>0.99999999999999978</v>
      </c>
      <c r="T15" s="22">
        <f>SUM(T5:T14)</f>
        <v>0.99999999999999978</v>
      </c>
      <c r="U15" s="22">
        <f>SUM(U5:U14)</f>
        <v>1</v>
      </c>
    </row>
    <row r="16" spans="1:21" x14ac:dyDescent="0.35">
      <c r="A16" s="2">
        <v>12</v>
      </c>
      <c r="B16" s="20" t="s">
        <v>61</v>
      </c>
      <c r="C16" s="20" t="s">
        <v>61</v>
      </c>
      <c r="D16" s="20" t="s">
        <v>64</v>
      </c>
      <c r="E16" s="20" t="s">
        <v>53</v>
      </c>
      <c r="F16" s="20" t="s">
        <v>66</v>
      </c>
    </row>
    <row r="17" spans="1:6" x14ac:dyDescent="0.35">
      <c r="A17" s="2">
        <v>13</v>
      </c>
      <c r="B17" s="20" t="s">
        <v>63</v>
      </c>
      <c r="C17" s="20" t="s">
        <v>63</v>
      </c>
      <c r="D17" s="20" t="s">
        <v>65</v>
      </c>
      <c r="E17" s="20" t="s">
        <v>55</v>
      </c>
      <c r="F17" s="20" t="s">
        <v>55</v>
      </c>
    </row>
    <row r="18" spans="1:6" x14ac:dyDescent="0.35">
      <c r="A18" s="2">
        <v>14</v>
      </c>
      <c r="B18" s="20" t="s">
        <v>64</v>
      </c>
      <c r="C18" s="20" t="s">
        <v>64</v>
      </c>
      <c r="D18" s="20" t="s">
        <v>66</v>
      </c>
      <c r="E18" s="20" t="s">
        <v>57</v>
      </c>
      <c r="F18" s="20" t="s">
        <v>57</v>
      </c>
    </row>
    <row r="19" spans="1:6" x14ac:dyDescent="0.35">
      <c r="A19" s="2">
        <v>15</v>
      </c>
      <c r="B19" s="20" t="s">
        <v>65</v>
      </c>
      <c r="C19" s="20" t="s">
        <v>51</v>
      </c>
      <c r="D19" s="20" t="s">
        <v>51</v>
      </c>
      <c r="E19" s="20" t="s">
        <v>51</v>
      </c>
      <c r="F19" s="20" t="s">
        <v>59</v>
      </c>
    </row>
    <row r="20" spans="1:6" x14ac:dyDescent="0.35">
      <c r="A20" s="2">
        <v>16</v>
      </c>
      <c r="B20" s="20" t="s">
        <v>53</v>
      </c>
      <c r="C20" s="20" t="s">
        <v>65</v>
      </c>
      <c r="D20" s="20" t="s">
        <v>55</v>
      </c>
      <c r="E20" s="20" t="s">
        <v>59</v>
      </c>
      <c r="F20" s="20" t="s">
        <v>61</v>
      </c>
    </row>
    <row r="21" spans="1:6" x14ac:dyDescent="0.35">
      <c r="A21" s="2">
        <v>17</v>
      </c>
      <c r="B21" s="20" t="s">
        <v>55</v>
      </c>
      <c r="C21" s="20" t="s">
        <v>66</v>
      </c>
      <c r="D21" s="20" t="s">
        <v>57</v>
      </c>
      <c r="E21" s="20" t="s">
        <v>61</v>
      </c>
      <c r="F21" s="20" t="s">
        <v>63</v>
      </c>
    </row>
    <row r="22" spans="1:6" x14ac:dyDescent="0.35">
      <c r="A22" s="2">
        <v>18</v>
      </c>
      <c r="B22" s="20" t="s">
        <v>57</v>
      </c>
      <c r="C22" s="20" t="s">
        <v>55</v>
      </c>
      <c r="D22" s="20" t="s">
        <v>59</v>
      </c>
      <c r="E22" s="20" t="s">
        <v>63</v>
      </c>
      <c r="F22" s="20" t="s">
        <v>64</v>
      </c>
    </row>
    <row r="23" spans="1:6" x14ac:dyDescent="0.35">
      <c r="A23" s="2">
        <v>19</v>
      </c>
      <c r="B23" s="20" t="s">
        <v>59</v>
      </c>
      <c r="C23" s="20" t="s">
        <v>57</v>
      </c>
      <c r="D23" s="20" t="s">
        <v>61</v>
      </c>
      <c r="E23" s="20" t="s">
        <v>64</v>
      </c>
      <c r="F23" s="20" t="s">
        <v>65</v>
      </c>
    </row>
    <row r="24" spans="1:6" x14ac:dyDescent="0.35">
      <c r="A24" s="2">
        <v>20</v>
      </c>
      <c r="B24" s="20" t="s">
        <v>61</v>
      </c>
      <c r="C24" s="20" t="s">
        <v>59</v>
      </c>
      <c r="D24" s="20" t="s">
        <v>63</v>
      </c>
      <c r="E24" s="20" t="s">
        <v>65</v>
      </c>
      <c r="F24" s="20" t="s">
        <v>53</v>
      </c>
    </row>
    <row r="25" spans="1:6" x14ac:dyDescent="0.35">
      <c r="A25" s="2">
        <v>21</v>
      </c>
      <c r="B25" s="20" t="s">
        <v>63</v>
      </c>
      <c r="C25" s="20" t="s">
        <v>61</v>
      </c>
      <c r="D25" s="20" t="s">
        <v>64</v>
      </c>
      <c r="E25" s="20" t="s">
        <v>66</v>
      </c>
      <c r="F25" s="20" t="s">
        <v>55</v>
      </c>
    </row>
    <row r="26" spans="1:6" x14ac:dyDescent="0.35">
      <c r="A26" s="2">
        <v>22</v>
      </c>
      <c r="B26" s="20" t="s">
        <v>64</v>
      </c>
      <c r="C26" s="20" t="s">
        <v>51</v>
      </c>
      <c r="D26" s="20" t="s">
        <v>51</v>
      </c>
      <c r="E26" s="20" t="s">
        <v>51</v>
      </c>
      <c r="F26" s="20" t="s">
        <v>57</v>
      </c>
    </row>
    <row r="27" spans="1:6" x14ac:dyDescent="0.35">
      <c r="A27" s="2">
        <v>23</v>
      </c>
      <c r="B27" s="20" t="s">
        <v>65</v>
      </c>
      <c r="C27" s="20" t="s">
        <v>63</v>
      </c>
      <c r="D27" s="20" t="s">
        <v>65</v>
      </c>
      <c r="E27" s="20" t="s">
        <v>55</v>
      </c>
      <c r="F27" s="20" t="s">
        <v>59</v>
      </c>
    </row>
    <row r="28" spans="1:6" x14ac:dyDescent="0.35">
      <c r="A28" s="2">
        <v>24</v>
      </c>
      <c r="B28" s="20" t="s">
        <v>66</v>
      </c>
      <c r="C28" s="20" t="s">
        <v>64</v>
      </c>
      <c r="D28" s="20" t="s">
        <v>66</v>
      </c>
      <c r="E28" s="20" t="s">
        <v>57</v>
      </c>
      <c r="F28" s="20" t="s">
        <v>61</v>
      </c>
    </row>
    <row r="29" spans="1:6" x14ac:dyDescent="0.35">
      <c r="A29" s="2">
        <v>25</v>
      </c>
      <c r="C29" s="20" t="s">
        <v>65</v>
      </c>
      <c r="D29" s="20" t="s">
        <v>55</v>
      </c>
      <c r="E29" s="20" t="s">
        <v>59</v>
      </c>
    </row>
    <row r="30" spans="1:6" x14ac:dyDescent="0.35">
      <c r="A30" s="2">
        <v>26</v>
      </c>
      <c r="C30" s="20" t="s">
        <v>53</v>
      </c>
      <c r="D30" s="20" t="s">
        <v>57</v>
      </c>
      <c r="E30" s="20" t="s">
        <v>61</v>
      </c>
    </row>
    <row r="31" spans="1:6" x14ac:dyDescent="0.35">
      <c r="A31" s="2">
        <v>27</v>
      </c>
      <c r="C31" s="20" t="s">
        <v>55</v>
      </c>
      <c r="D31" s="20" t="s">
        <v>59</v>
      </c>
      <c r="E31" s="20" t="s">
        <v>63</v>
      </c>
    </row>
    <row r="32" spans="1:6" x14ac:dyDescent="0.35">
      <c r="A32" s="2">
        <v>28</v>
      </c>
      <c r="C32" s="20" t="s">
        <v>57</v>
      </c>
      <c r="D32" s="20" t="s">
        <v>61</v>
      </c>
      <c r="E32" s="20" t="s">
        <v>64</v>
      </c>
    </row>
    <row r="33" spans="1:1" x14ac:dyDescent="0.35">
      <c r="A33" s="2">
        <v>29</v>
      </c>
    </row>
    <row r="34" spans="1:1" x14ac:dyDescent="0.35">
      <c r="A34" s="2">
        <v>30</v>
      </c>
    </row>
    <row r="35" spans="1:1" x14ac:dyDescent="0.35">
      <c r="A35" s="2">
        <v>31</v>
      </c>
    </row>
    <row r="36" spans="1:1" x14ac:dyDescent="0.35">
      <c r="A36" s="2">
        <v>32</v>
      </c>
    </row>
    <row r="37" spans="1:1" x14ac:dyDescent="0.35">
      <c r="A37" s="2">
        <v>33</v>
      </c>
    </row>
    <row r="38" spans="1:1" x14ac:dyDescent="0.35">
      <c r="A38" s="2">
        <v>34</v>
      </c>
    </row>
    <row r="39" spans="1:1" x14ac:dyDescent="0.35">
      <c r="A39" s="2">
        <v>35</v>
      </c>
    </row>
    <row r="40" spans="1:1" x14ac:dyDescent="0.35">
      <c r="A40" s="2">
        <v>36</v>
      </c>
    </row>
    <row r="41" spans="1:1" x14ac:dyDescent="0.35">
      <c r="A41" s="2">
        <v>37</v>
      </c>
    </row>
    <row r="42" spans="1:1" x14ac:dyDescent="0.35">
      <c r="A42" s="2">
        <v>38</v>
      </c>
    </row>
    <row r="43" spans="1:1" x14ac:dyDescent="0.35">
      <c r="A43" s="2">
        <v>39</v>
      </c>
    </row>
    <row r="44" spans="1:1" x14ac:dyDescent="0.35">
      <c r="A44" s="2">
        <v>40</v>
      </c>
    </row>
    <row r="45" spans="1:1" x14ac:dyDescent="0.35">
      <c r="A45" s="2">
        <v>41</v>
      </c>
    </row>
    <row r="46" spans="1:1" x14ac:dyDescent="0.35">
      <c r="A46" s="2">
        <v>42</v>
      </c>
    </row>
    <row r="47" spans="1:1" x14ac:dyDescent="0.35">
      <c r="A47" s="2">
        <v>43</v>
      </c>
    </row>
    <row r="48" spans="1:1" x14ac:dyDescent="0.35">
      <c r="A48" s="2">
        <v>44</v>
      </c>
    </row>
    <row r="49" spans="1:1" x14ac:dyDescent="0.35">
      <c r="A49" s="2">
        <v>45</v>
      </c>
    </row>
    <row r="50" spans="1:1" x14ac:dyDescent="0.35">
      <c r="A50" s="2">
        <v>46</v>
      </c>
    </row>
    <row r="51" spans="1:1" x14ac:dyDescent="0.35">
      <c r="A51" s="2">
        <v>47</v>
      </c>
    </row>
    <row r="52" spans="1:1" x14ac:dyDescent="0.35">
      <c r="A52" s="2">
        <v>48</v>
      </c>
    </row>
    <row r="53" spans="1:1" x14ac:dyDescent="0.35">
      <c r="A53" s="2">
        <v>49</v>
      </c>
    </row>
    <row r="54" spans="1:1" x14ac:dyDescent="0.35">
      <c r="A54" s="2">
        <v>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5"/>
  <sheetViews>
    <sheetView zoomScaleNormal="100" workbookViewId="0"/>
  </sheetViews>
  <sheetFormatPr defaultColWidth="8.6328125" defaultRowHeight="14.5" x14ac:dyDescent="0.35"/>
  <cols>
    <col min="1" max="1" width="18" customWidth="1"/>
    <col min="2" max="25" width="11" customWidth="1"/>
  </cols>
  <sheetData>
    <row r="1" spans="1:23" ht="18" x14ac:dyDescent="0.4">
      <c r="A1" s="1" t="s">
        <v>95</v>
      </c>
    </row>
    <row r="3" spans="1:23" x14ac:dyDescent="0.35">
      <c r="A3" s="7" t="s">
        <v>96</v>
      </c>
    </row>
    <row r="4" spans="1:23" x14ac:dyDescent="0.35">
      <c r="A4" s="2" t="s">
        <v>97</v>
      </c>
    </row>
    <row r="5" spans="1:23" ht="28.5" x14ac:dyDescent="0.35">
      <c r="A5" s="3" t="s">
        <v>46</v>
      </c>
      <c r="B5" s="3" t="s">
        <v>98</v>
      </c>
      <c r="C5" s="3" t="s">
        <v>99</v>
      </c>
      <c r="D5" s="3" t="s">
        <v>100</v>
      </c>
      <c r="E5" s="3" t="s">
        <v>101</v>
      </c>
      <c r="F5" s="3" t="s">
        <v>102</v>
      </c>
      <c r="G5" s="3" t="s">
        <v>103</v>
      </c>
      <c r="H5" s="3" t="s">
        <v>104</v>
      </c>
      <c r="I5" s="3" t="s">
        <v>105</v>
      </c>
      <c r="J5" s="3" t="s">
        <v>106</v>
      </c>
      <c r="K5" s="3" t="s">
        <v>107</v>
      </c>
      <c r="L5" s="3" t="s">
        <v>108</v>
      </c>
      <c r="M5" s="3" t="s">
        <v>109</v>
      </c>
      <c r="N5" s="3" t="s">
        <v>110</v>
      </c>
      <c r="O5" s="3" t="s">
        <v>111</v>
      </c>
      <c r="P5" s="3" t="s">
        <v>112</v>
      </c>
      <c r="Q5" s="3" t="s">
        <v>113</v>
      </c>
      <c r="R5" s="3" t="s">
        <v>114</v>
      </c>
      <c r="S5" s="3" t="s">
        <v>115</v>
      </c>
      <c r="T5" s="3" t="s">
        <v>116</v>
      </c>
      <c r="U5" s="3" t="s">
        <v>117</v>
      </c>
      <c r="V5" s="3" t="s">
        <v>118</v>
      </c>
      <c r="W5" s="3" t="s">
        <v>119</v>
      </c>
    </row>
    <row r="6" spans="1:23" x14ac:dyDescent="0.35">
      <c r="A6" s="7" t="s">
        <v>55</v>
      </c>
      <c r="B6" s="23">
        <f>Reels_Base!$Q$7</f>
        <v>8.3333333333333329E-2</v>
      </c>
      <c r="C6" s="23">
        <f>Reels_Base!$R$7</f>
        <v>0.1111111111111111</v>
      </c>
      <c r="D6" s="23">
        <f>Reels_Base!$S$7</f>
        <v>0.1111111111111111</v>
      </c>
      <c r="E6" s="23">
        <f>Reels_Base!$T$7</f>
        <v>0.11428571428571428</v>
      </c>
      <c r="F6" s="23">
        <f>Reels_Base!$U$7</f>
        <v>8.8235294117647065E-2</v>
      </c>
      <c r="G6" s="23">
        <f>Reels_Base!$R$5</f>
        <v>5.5555555555555552E-2</v>
      </c>
      <c r="H6" s="23">
        <f>Reels_Base!$S$5</f>
        <v>5.5555555555555552E-2</v>
      </c>
      <c r="I6" s="23">
        <f>Reels_Base!$T$5</f>
        <v>5.7142857142857141E-2</v>
      </c>
      <c r="J6" s="23">
        <f>Reels_Base!$U$5</f>
        <v>0</v>
      </c>
      <c r="K6" s="24">
        <f t="shared" ref="K6:K13" si="0">B6</f>
        <v>8.3333333333333329E-2</v>
      </c>
      <c r="L6" s="24">
        <f t="shared" ref="L6:O13" si="1">K6*(C6+G6)</f>
        <v>1.3888888888888888E-2</v>
      </c>
      <c r="M6" s="24">
        <f t="shared" si="1"/>
        <v>2.3148148148148147E-3</v>
      </c>
      <c r="N6" s="24">
        <f t="shared" si="1"/>
        <v>3.9682539682539683E-4</v>
      </c>
      <c r="O6" s="24">
        <f t="shared" si="1"/>
        <v>3.5014005602240901E-5</v>
      </c>
      <c r="P6" s="24">
        <f t="shared" ref="P6:Q13" si="2">M6-N6</f>
        <v>1.917989417989418E-3</v>
      </c>
      <c r="Q6" s="24">
        <f t="shared" si="2"/>
        <v>3.6181139122315594E-4</v>
      </c>
      <c r="R6" s="24">
        <f t="shared" ref="R6:R13" si="3">O6</f>
        <v>3.5014005602240901E-5</v>
      </c>
      <c r="S6" s="25">
        <f>Paytable!$C$7</f>
        <v>2</v>
      </c>
      <c r="T6" s="25">
        <f>Paytable!$D$7</f>
        <v>8</v>
      </c>
      <c r="U6" s="25">
        <f>Paytable!$E$7</f>
        <v>40</v>
      </c>
      <c r="V6" s="24">
        <f t="shared" ref="V6:V13" si="4">SUMPRODUCT(P6:R6,S6:U6)</f>
        <v>8.1310301898537204E-3</v>
      </c>
      <c r="W6" s="24">
        <f t="shared" ref="W6:W13" si="5">SUMPRODUCT(P6:R6,--(S6:U6&gt;0))</f>
        <v>2.3148148148148147E-3</v>
      </c>
    </row>
    <row r="7" spans="1:23" x14ac:dyDescent="0.35">
      <c r="A7" s="7" t="s">
        <v>57</v>
      </c>
      <c r="B7" s="23">
        <f>Reels_Base!$Q$8</f>
        <v>0.1111111111111111</v>
      </c>
      <c r="C7" s="23">
        <f>Reels_Base!$R$8</f>
        <v>0.1111111111111111</v>
      </c>
      <c r="D7" s="23">
        <f>Reels_Base!$S$8</f>
        <v>8.3333333333333329E-2</v>
      </c>
      <c r="E7" s="23">
        <f>Reels_Base!$T$8</f>
        <v>5.7142857142857141E-2</v>
      </c>
      <c r="F7" s="23">
        <f>Reels_Base!$U$8</f>
        <v>0.14705882352941177</v>
      </c>
      <c r="G7" s="23">
        <f>Reels_Base!$R$5</f>
        <v>5.5555555555555552E-2</v>
      </c>
      <c r="H7" s="23">
        <f>Reels_Base!$S$5</f>
        <v>5.5555555555555552E-2</v>
      </c>
      <c r="I7" s="23">
        <f>Reels_Base!$T$5</f>
        <v>5.7142857142857141E-2</v>
      </c>
      <c r="J7" s="23">
        <f>Reels_Base!$U$5</f>
        <v>0</v>
      </c>
      <c r="K7" s="24">
        <f t="shared" si="0"/>
        <v>0.1111111111111111</v>
      </c>
      <c r="L7" s="24">
        <f t="shared" si="1"/>
        <v>1.8518518518518517E-2</v>
      </c>
      <c r="M7" s="24">
        <f t="shared" si="1"/>
        <v>2.5720164609053498E-3</v>
      </c>
      <c r="N7" s="24">
        <f t="shared" si="1"/>
        <v>2.9394473838918284E-4</v>
      </c>
      <c r="O7" s="24">
        <f t="shared" si="1"/>
        <v>4.3227167410173951E-5</v>
      </c>
      <c r="P7" s="24">
        <f t="shared" si="2"/>
        <v>2.2780717225161671E-3</v>
      </c>
      <c r="Q7" s="24">
        <f t="shared" si="2"/>
        <v>2.5071757097900888E-4</v>
      </c>
      <c r="R7" s="24">
        <f t="shared" si="3"/>
        <v>4.3227167410173951E-5</v>
      </c>
      <c r="S7" s="25">
        <f>Paytable!$C$8</f>
        <v>1.5</v>
      </c>
      <c r="T7" s="25">
        <f>Paytable!$D$8</f>
        <v>5</v>
      </c>
      <c r="U7" s="25">
        <f>Paytable!$E$8</f>
        <v>25</v>
      </c>
      <c r="V7" s="24">
        <f t="shared" si="4"/>
        <v>5.7513746239236437E-3</v>
      </c>
      <c r="W7" s="24">
        <f t="shared" si="5"/>
        <v>2.5720164609053502E-3</v>
      </c>
    </row>
    <row r="8" spans="1:23" x14ac:dyDescent="0.35">
      <c r="A8" s="7" t="s">
        <v>59</v>
      </c>
      <c r="B8" s="23">
        <f>Reels_Base!$Q$9</f>
        <v>0.1111111111111111</v>
      </c>
      <c r="C8" s="23">
        <f>Reels_Base!$R$9</f>
        <v>8.3333333333333329E-2</v>
      </c>
      <c r="D8" s="23">
        <f>Reels_Base!$S$9</f>
        <v>8.3333333333333329E-2</v>
      </c>
      <c r="E8" s="23">
        <f>Reels_Base!$T$9</f>
        <v>5.7142857142857141E-2</v>
      </c>
      <c r="F8" s="23">
        <f>Reels_Base!$U$9</f>
        <v>0.11764705882352941</v>
      </c>
      <c r="G8" s="23">
        <f>Reels_Base!$R$5</f>
        <v>5.5555555555555552E-2</v>
      </c>
      <c r="H8" s="23">
        <f>Reels_Base!$S$5</f>
        <v>5.5555555555555552E-2</v>
      </c>
      <c r="I8" s="23">
        <f>Reels_Base!$T$5</f>
        <v>5.7142857142857141E-2</v>
      </c>
      <c r="J8" s="23">
        <f>Reels_Base!$U$5</f>
        <v>0</v>
      </c>
      <c r="K8" s="24">
        <f t="shared" si="0"/>
        <v>0.1111111111111111</v>
      </c>
      <c r="L8" s="24">
        <f t="shared" si="1"/>
        <v>1.5432098765432098E-2</v>
      </c>
      <c r="M8" s="24">
        <f t="shared" si="1"/>
        <v>2.1433470507544582E-3</v>
      </c>
      <c r="N8" s="24">
        <f t="shared" si="1"/>
        <v>2.4495394865765234E-4</v>
      </c>
      <c r="O8" s="24">
        <f t="shared" si="1"/>
        <v>2.8818111606782627E-5</v>
      </c>
      <c r="P8" s="24">
        <f t="shared" si="2"/>
        <v>1.8983931020968058E-3</v>
      </c>
      <c r="Q8" s="24">
        <f t="shared" si="2"/>
        <v>2.161358370508697E-4</v>
      </c>
      <c r="R8" s="24">
        <f t="shared" si="3"/>
        <v>2.8818111606782627E-5</v>
      </c>
      <c r="S8" s="25">
        <f>Paytable!$C$9</f>
        <v>1</v>
      </c>
      <c r="T8" s="25">
        <f>Paytable!$D$9</f>
        <v>3</v>
      </c>
      <c r="U8" s="25">
        <f>Paytable!$E$9</f>
        <v>15</v>
      </c>
      <c r="V8" s="24">
        <f t="shared" si="4"/>
        <v>2.9790722873511543E-3</v>
      </c>
      <c r="W8" s="24">
        <f t="shared" si="5"/>
        <v>2.1433470507544582E-3</v>
      </c>
    </row>
    <row r="9" spans="1:23" x14ac:dyDescent="0.35">
      <c r="A9" s="7" t="s">
        <v>61</v>
      </c>
      <c r="B9" s="23">
        <f>Reels_Base!$Q$10</f>
        <v>0.1111111111111111</v>
      </c>
      <c r="C9" s="23">
        <f>Reels_Base!$R$10</f>
        <v>5.5555555555555552E-2</v>
      </c>
      <c r="D9" s="23">
        <f>Reels_Base!$S$10</f>
        <v>8.3333333333333329E-2</v>
      </c>
      <c r="E9" s="23">
        <f>Reels_Base!$T$10</f>
        <v>0.14285714285714285</v>
      </c>
      <c r="F9" s="23">
        <f>Reels_Base!$U$10</f>
        <v>0.11764705882352941</v>
      </c>
      <c r="G9" s="23">
        <f>Reels_Base!$R$5</f>
        <v>5.5555555555555552E-2</v>
      </c>
      <c r="H9" s="23">
        <f>Reels_Base!$S$5</f>
        <v>5.5555555555555552E-2</v>
      </c>
      <c r="I9" s="23">
        <f>Reels_Base!$T$5</f>
        <v>5.7142857142857141E-2</v>
      </c>
      <c r="J9" s="23">
        <f>Reels_Base!$U$5</f>
        <v>0</v>
      </c>
      <c r="K9" s="24">
        <f t="shared" si="0"/>
        <v>0.1111111111111111</v>
      </c>
      <c r="L9" s="24">
        <f t="shared" si="1"/>
        <v>1.2345679012345678E-2</v>
      </c>
      <c r="M9" s="24">
        <f t="shared" si="1"/>
        <v>1.7146776406035665E-3</v>
      </c>
      <c r="N9" s="24">
        <f t="shared" si="1"/>
        <v>3.4293552812071328E-4</v>
      </c>
      <c r="O9" s="24">
        <f t="shared" si="1"/>
        <v>4.0345356249495677E-5</v>
      </c>
      <c r="P9" s="24">
        <f t="shared" si="2"/>
        <v>1.3717421124828531E-3</v>
      </c>
      <c r="Q9" s="24">
        <f t="shared" si="2"/>
        <v>3.025901718712176E-4</v>
      </c>
      <c r="R9" s="24">
        <f t="shared" si="3"/>
        <v>4.0345356249495677E-5</v>
      </c>
      <c r="S9" s="25">
        <f>Paytable!$C$10</f>
        <v>0.8</v>
      </c>
      <c r="T9" s="25">
        <f>Paytable!$D$10</f>
        <v>2</v>
      </c>
      <c r="U9" s="25">
        <f>Paytable!$E$10</f>
        <v>10</v>
      </c>
      <c r="V9" s="24">
        <f t="shared" si="4"/>
        <v>2.1060275962236745E-3</v>
      </c>
      <c r="W9" s="24">
        <f t="shared" si="5"/>
        <v>1.7146776406035665E-3</v>
      </c>
    </row>
    <row r="10" spans="1:23" x14ac:dyDescent="0.35">
      <c r="A10" s="7" t="s">
        <v>63</v>
      </c>
      <c r="B10" s="23">
        <f>Reels_Base!$Q$11</f>
        <v>0.1388888888888889</v>
      </c>
      <c r="C10" s="23">
        <f>Reels_Base!$R$11</f>
        <v>0.1388888888888889</v>
      </c>
      <c r="D10" s="23">
        <f>Reels_Base!$S$11</f>
        <v>0.1388888888888889</v>
      </c>
      <c r="E10" s="23">
        <f>Reels_Base!$T$11</f>
        <v>0.2</v>
      </c>
      <c r="F10" s="23">
        <f>Reels_Base!$U$11</f>
        <v>0.17647058823529413</v>
      </c>
      <c r="G10" s="23">
        <f>Reels_Base!$R$5</f>
        <v>5.5555555555555552E-2</v>
      </c>
      <c r="H10" s="23">
        <f>Reels_Base!$S$5</f>
        <v>5.5555555555555552E-2</v>
      </c>
      <c r="I10" s="23">
        <f>Reels_Base!$T$5</f>
        <v>5.7142857142857141E-2</v>
      </c>
      <c r="J10" s="23">
        <f>Reels_Base!$U$5</f>
        <v>0</v>
      </c>
      <c r="K10" s="24">
        <f t="shared" si="0"/>
        <v>0.1388888888888889</v>
      </c>
      <c r="L10" s="24">
        <f t="shared" si="1"/>
        <v>2.7006172839506175E-2</v>
      </c>
      <c r="M10" s="24">
        <f t="shared" si="1"/>
        <v>5.2512002743484226E-3</v>
      </c>
      <c r="N10" s="24">
        <f t="shared" si="1"/>
        <v>1.3503086419753088E-3</v>
      </c>
      <c r="O10" s="24">
        <f t="shared" si="1"/>
        <v>2.3828976034858391E-4</v>
      </c>
      <c r="P10" s="24">
        <f t="shared" si="2"/>
        <v>3.900891632373114E-3</v>
      </c>
      <c r="Q10" s="24">
        <f t="shared" si="2"/>
        <v>1.112018881626725E-3</v>
      </c>
      <c r="R10" s="24">
        <f t="shared" si="3"/>
        <v>2.3828976034858391E-4</v>
      </c>
      <c r="S10" s="25">
        <f>Paytable!$C$11</f>
        <v>0.4</v>
      </c>
      <c r="T10" s="25">
        <f>Paytable!$D$11</f>
        <v>1.2</v>
      </c>
      <c r="U10" s="25">
        <f>Paytable!$E$11</f>
        <v>5</v>
      </c>
      <c r="V10" s="24">
        <f t="shared" si="4"/>
        <v>4.086228112644235E-3</v>
      </c>
      <c r="W10" s="24">
        <f t="shared" si="5"/>
        <v>5.2512002743484226E-3</v>
      </c>
    </row>
    <row r="11" spans="1:23" x14ac:dyDescent="0.35">
      <c r="A11" s="7" t="s">
        <v>64</v>
      </c>
      <c r="B11" s="23">
        <f>Reels_Base!$Q$12</f>
        <v>0.1388888888888889</v>
      </c>
      <c r="C11" s="23">
        <f>Reels_Base!$R$12</f>
        <v>0.1388888888888889</v>
      </c>
      <c r="D11" s="23">
        <f>Reels_Base!$S$12</f>
        <v>0.1388888888888889</v>
      </c>
      <c r="E11" s="23">
        <f>Reels_Base!$T$12</f>
        <v>8.5714285714285715E-2</v>
      </c>
      <c r="F11" s="23">
        <f>Reels_Base!$U$12</f>
        <v>0.11764705882352941</v>
      </c>
      <c r="G11" s="23">
        <f>Reels_Base!$R$5</f>
        <v>5.5555555555555552E-2</v>
      </c>
      <c r="H11" s="23">
        <f>Reels_Base!$S$5</f>
        <v>5.5555555555555552E-2</v>
      </c>
      <c r="I11" s="23">
        <f>Reels_Base!$T$5</f>
        <v>5.7142857142857141E-2</v>
      </c>
      <c r="J11" s="23">
        <f>Reels_Base!$U$5</f>
        <v>0</v>
      </c>
      <c r="K11" s="24">
        <f t="shared" si="0"/>
        <v>0.1388888888888889</v>
      </c>
      <c r="L11" s="24">
        <f t="shared" si="1"/>
        <v>2.7006172839506175E-2</v>
      </c>
      <c r="M11" s="24">
        <f t="shared" si="1"/>
        <v>5.2512002743484226E-3</v>
      </c>
      <c r="N11" s="24">
        <f t="shared" si="1"/>
        <v>7.5017146776406034E-4</v>
      </c>
      <c r="O11" s="24">
        <f t="shared" si="1"/>
        <v>8.8255466795771797E-5</v>
      </c>
      <c r="P11" s="24">
        <f t="shared" si="2"/>
        <v>4.5010288065843625E-3</v>
      </c>
      <c r="Q11" s="24">
        <f t="shared" si="2"/>
        <v>6.6191600096828852E-4</v>
      </c>
      <c r="R11" s="24">
        <f t="shared" si="3"/>
        <v>8.8255466795771797E-5</v>
      </c>
      <c r="S11" s="25">
        <f>Paytable!$C$12</f>
        <v>0.3</v>
      </c>
      <c r="T11" s="25">
        <f>Paytable!$D$12</f>
        <v>1</v>
      </c>
      <c r="U11" s="25">
        <f>Paytable!$E$12</f>
        <v>4</v>
      </c>
      <c r="V11" s="24">
        <f t="shared" si="4"/>
        <v>2.3652465101266845E-3</v>
      </c>
      <c r="W11" s="24">
        <f t="shared" si="5"/>
        <v>5.2512002743484226E-3</v>
      </c>
    </row>
    <row r="12" spans="1:23" x14ac:dyDescent="0.35">
      <c r="A12" s="7" t="s">
        <v>65</v>
      </c>
      <c r="B12" s="23">
        <f>Reels_Base!$Q$13</f>
        <v>0.1388888888888889</v>
      </c>
      <c r="C12" s="23">
        <f>Reels_Base!$R$13</f>
        <v>0.1388888888888889</v>
      </c>
      <c r="D12" s="23">
        <f>Reels_Base!$S$13</f>
        <v>0.1388888888888889</v>
      </c>
      <c r="E12" s="23">
        <f>Reels_Base!$T$13</f>
        <v>0.14285714285714285</v>
      </c>
      <c r="F12" s="23">
        <f>Reels_Base!$U$13</f>
        <v>0.11764705882352941</v>
      </c>
      <c r="G12" s="23">
        <f>Reels_Base!$R$5</f>
        <v>5.5555555555555552E-2</v>
      </c>
      <c r="H12" s="23">
        <f>Reels_Base!$S$5</f>
        <v>5.5555555555555552E-2</v>
      </c>
      <c r="I12" s="23">
        <f>Reels_Base!$T$5</f>
        <v>5.7142857142857141E-2</v>
      </c>
      <c r="J12" s="23">
        <f>Reels_Base!$U$5</f>
        <v>0</v>
      </c>
      <c r="K12" s="24">
        <f t="shared" si="0"/>
        <v>0.1388888888888889</v>
      </c>
      <c r="L12" s="24">
        <f t="shared" si="1"/>
        <v>2.7006172839506175E-2</v>
      </c>
      <c r="M12" s="24">
        <f t="shared" si="1"/>
        <v>5.2512002743484226E-3</v>
      </c>
      <c r="N12" s="24">
        <f t="shared" si="1"/>
        <v>1.0502400548696843E-3</v>
      </c>
      <c r="O12" s="24">
        <f t="shared" si="1"/>
        <v>1.2355765351408052E-4</v>
      </c>
      <c r="P12" s="24">
        <f t="shared" si="2"/>
        <v>4.2009602194787382E-3</v>
      </c>
      <c r="Q12" s="24">
        <f t="shared" si="2"/>
        <v>9.2668240135560377E-4</v>
      </c>
      <c r="R12" s="24">
        <f t="shared" si="3"/>
        <v>1.2355765351408052E-4</v>
      </c>
      <c r="S12" s="25">
        <f>Paytable!$C$13</f>
        <v>0.3</v>
      </c>
      <c r="T12" s="25">
        <f>Paytable!$D$13</f>
        <v>0.8</v>
      </c>
      <c r="U12" s="25">
        <f>Paytable!$E$13</f>
        <v>3</v>
      </c>
      <c r="V12" s="24">
        <f t="shared" si="4"/>
        <v>2.3723069474703459E-3</v>
      </c>
      <c r="W12" s="24">
        <f t="shared" si="5"/>
        <v>5.2512002743484226E-3</v>
      </c>
    </row>
    <row r="13" spans="1:23" x14ac:dyDescent="0.35">
      <c r="A13" s="7" t="s">
        <v>66</v>
      </c>
      <c r="B13" s="23">
        <f>Reels_Base!$Q$14</f>
        <v>0.1388888888888889</v>
      </c>
      <c r="C13" s="23">
        <f>Reels_Base!$R$14</f>
        <v>0.1388888888888889</v>
      </c>
      <c r="D13" s="23">
        <f>Reels_Base!$S$14</f>
        <v>0.1388888888888889</v>
      </c>
      <c r="E13" s="23">
        <f>Reels_Base!$T$14</f>
        <v>0.11428571428571428</v>
      </c>
      <c r="F13" s="23">
        <f>Reels_Base!$U$14</f>
        <v>8.8235294117647065E-2</v>
      </c>
      <c r="G13" s="23">
        <f>Reels_Base!$R$5</f>
        <v>5.5555555555555552E-2</v>
      </c>
      <c r="H13" s="23">
        <f>Reels_Base!$S$5</f>
        <v>5.5555555555555552E-2</v>
      </c>
      <c r="I13" s="23">
        <f>Reels_Base!$T$5</f>
        <v>5.7142857142857141E-2</v>
      </c>
      <c r="J13" s="23">
        <f>Reels_Base!$U$5</f>
        <v>0</v>
      </c>
      <c r="K13" s="24">
        <f t="shared" si="0"/>
        <v>0.1388888888888889</v>
      </c>
      <c r="L13" s="24">
        <f t="shared" si="1"/>
        <v>2.7006172839506175E-2</v>
      </c>
      <c r="M13" s="24">
        <f t="shared" si="1"/>
        <v>5.2512002743484226E-3</v>
      </c>
      <c r="N13" s="24">
        <f t="shared" si="1"/>
        <v>9.0020576131687245E-4</v>
      </c>
      <c r="O13" s="24">
        <f t="shared" si="1"/>
        <v>7.9429920116194636E-5</v>
      </c>
      <c r="P13" s="24">
        <f t="shared" si="2"/>
        <v>4.3509945130315499E-3</v>
      </c>
      <c r="Q13" s="24">
        <f t="shared" si="2"/>
        <v>8.2077584120067784E-4</v>
      </c>
      <c r="R13" s="24">
        <f t="shared" si="3"/>
        <v>7.9429920116194636E-5</v>
      </c>
      <c r="S13" s="25">
        <f>Paytable!$C$14</f>
        <v>0.2</v>
      </c>
      <c r="T13" s="25">
        <f>Paytable!$D$14</f>
        <v>0.6</v>
      </c>
      <c r="U13" s="25">
        <f>Paytable!$E$14</f>
        <v>2.5</v>
      </c>
      <c r="V13" s="24">
        <f t="shared" si="4"/>
        <v>1.5612392076172032E-3</v>
      </c>
      <c r="W13" s="24">
        <f t="shared" si="5"/>
        <v>5.2512002743484226E-3</v>
      </c>
    </row>
    <row r="14" spans="1:23" x14ac:dyDescent="0.35">
      <c r="A14" s="7" t="s">
        <v>120</v>
      </c>
      <c r="V14" s="26">
        <f>SUM(V6:V13)</f>
        <v>2.9352525475210663E-2</v>
      </c>
      <c r="W14" s="26">
        <f>SUM(W6:W13)</f>
        <v>2.9749657064471881E-2</v>
      </c>
    </row>
    <row r="15" spans="1:23" x14ac:dyDescent="0.35">
      <c r="A15" s="2" t="s">
        <v>121</v>
      </c>
      <c r="V15" s="7" t="str">
        <f>IF(Reels_Base!$Q$5=0,"OK","INVALID: wild on reel 1")</f>
        <v>OK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5"/>
  <sheetViews>
    <sheetView zoomScaleNormal="100" workbookViewId="0"/>
  </sheetViews>
  <sheetFormatPr defaultColWidth="8.6328125" defaultRowHeight="14.5" x14ac:dyDescent="0.35"/>
  <cols>
    <col min="1" max="1" width="18" customWidth="1"/>
    <col min="2" max="25" width="11" customWidth="1"/>
  </cols>
  <sheetData>
    <row r="1" spans="1:23" ht="18" x14ac:dyDescent="0.4">
      <c r="A1" s="1" t="s">
        <v>122</v>
      </c>
    </row>
    <row r="3" spans="1:23" x14ac:dyDescent="0.35">
      <c r="A3" s="7" t="s">
        <v>123</v>
      </c>
    </row>
    <row r="4" spans="1:23" x14ac:dyDescent="0.35">
      <c r="A4" s="2" t="s">
        <v>97</v>
      </c>
    </row>
    <row r="5" spans="1:23" ht="28.5" x14ac:dyDescent="0.35">
      <c r="A5" s="3" t="s">
        <v>46</v>
      </c>
      <c r="B5" s="3" t="s">
        <v>98</v>
      </c>
      <c r="C5" s="3" t="s">
        <v>99</v>
      </c>
      <c r="D5" s="3" t="s">
        <v>100</v>
      </c>
      <c r="E5" s="3" t="s">
        <v>101</v>
      </c>
      <c r="F5" s="3" t="s">
        <v>102</v>
      </c>
      <c r="G5" s="3" t="s">
        <v>103</v>
      </c>
      <c r="H5" s="3" t="s">
        <v>104</v>
      </c>
      <c r="I5" s="3" t="s">
        <v>105</v>
      </c>
      <c r="J5" s="3" t="s">
        <v>106</v>
      </c>
      <c r="K5" s="3" t="s">
        <v>107</v>
      </c>
      <c r="L5" s="3" t="s">
        <v>108</v>
      </c>
      <c r="M5" s="3" t="s">
        <v>109</v>
      </c>
      <c r="N5" s="3" t="s">
        <v>110</v>
      </c>
      <c r="O5" s="3" t="s">
        <v>111</v>
      </c>
      <c r="P5" s="3" t="s">
        <v>112</v>
      </c>
      <c r="Q5" s="3" t="s">
        <v>113</v>
      </c>
      <c r="R5" s="3" t="s">
        <v>114</v>
      </c>
      <c r="S5" s="3" t="s">
        <v>115</v>
      </c>
      <c r="T5" s="3" t="s">
        <v>116</v>
      </c>
      <c r="U5" s="3" t="s">
        <v>117</v>
      </c>
      <c r="V5" s="3" t="s">
        <v>118</v>
      </c>
      <c r="W5" s="3" t="s">
        <v>119</v>
      </c>
    </row>
    <row r="6" spans="1:23" x14ac:dyDescent="0.35">
      <c r="A6" s="7" t="s">
        <v>55</v>
      </c>
      <c r="B6" s="23">
        <f>Reels_FS!$Q$7</f>
        <v>0.125</v>
      </c>
      <c r="C6" s="23">
        <f>Reels_FS!$R$7</f>
        <v>0.10714285714285714</v>
      </c>
      <c r="D6" s="23">
        <f>Reels_FS!$S$7</f>
        <v>0.10714285714285714</v>
      </c>
      <c r="E6" s="23">
        <f>Reels_FS!$T$7</f>
        <v>0.10714285714285714</v>
      </c>
      <c r="F6" s="23">
        <f>Reels_FS!$U$7</f>
        <v>0.125</v>
      </c>
      <c r="G6" s="23">
        <f>Reels_FS!$R$5</f>
        <v>0.14285714285714285</v>
      </c>
      <c r="H6" s="23">
        <f>Reels_FS!$S$5</f>
        <v>0.14285714285714285</v>
      </c>
      <c r="I6" s="23">
        <f>Reels_FS!$T$5</f>
        <v>0.14285714285714285</v>
      </c>
      <c r="J6" s="23">
        <f>Reels_FS!$U$5</f>
        <v>0</v>
      </c>
      <c r="K6" s="24">
        <f t="shared" ref="K6:K13" si="0">B6</f>
        <v>0.125</v>
      </c>
      <c r="L6" s="24">
        <f t="shared" ref="L6:O13" si="1">K6*(C6+G6)</f>
        <v>3.125E-2</v>
      </c>
      <c r="M6" s="24">
        <f t="shared" si="1"/>
        <v>7.8125E-3</v>
      </c>
      <c r="N6" s="24">
        <f t="shared" si="1"/>
        <v>1.953125E-3</v>
      </c>
      <c r="O6" s="24">
        <f t="shared" si="1"/>
        <v>2.44140625E-4</v>
      </c>
      <c r="P6" s="24">
        <f t="shared" ref="P6:Q13" si="2">M6-N6</f>
        <v>5.859375E-3</v>
      </c>
      <c r="Q6" s="24">
        <f t="shared" si="2"/>
        <v>1.708984375E-3</v>
      </c>
      <c r="R6" s="24">
        <f t="shared" ref="R6:R13" si="3">O6</f>
        <v>2.44140625E-4</v>
      </c>
      <c r="S6" s="25">
        <f>Paytable!$C$7</f>
        <v>2</v>
      </c>
      <c r="T6" s="25">
        <f>Paytable!$D$7</f>
        <v>8</v>
      </c>
      <c r="U6" s="25">
        <f>Paytable!$E$7</f>
        <v>40</v>
      </c>
      <c r="V6" s="24">
        <f t="shared" ref="V6:V13" si="4">SUMPRODUCT(P6:R6,S6:U6)</f>
        <v>3.515625E-2</v>
      </c>
      <c r="W6" s="24">
        <f t="shared" ref="W6:W13" si="5">SUMPRODUCT(P6:R6,--(S6:U6&gt;0))</f>
        <v>7.8125E-3</v>
      </c>
    </row>
    <row r="7" spans="1:23" x14ac:dyDescent="0.35">
      <c r="A7" s="7" t="s">
        <v>57</v>
      </c>
      <c r="B7" s="23">
        <f>Reels_FS!$Q$8</f>
        <v>0.125</v>
      </c>
      <c r="C7" s="23">
        <f>Reels_FS!$R$8</f>
        <v>0.10714285714285714</v>
      </c>
      <c r="D7" s="23">
        <f>Reels_FS!$S$8</f>
        <v>0.10714285714285714</v>
      </c>
      <c r="E7" s="23">
        <f>Reels_FS!$T$8</f>
        <v>0.10714285714285714</v>
      </c>
      <c r="F7" s="23">
        <f>Reels_FS!$U$8</f>
        <v>0.125</v>
      </c>
      <c r="G7" s="23">
        <f>Reels_FS!$R$5</f>
        <v>0.14285714285714285</v>
      </c>
      <c r="H7" s="23">
        <f>Reels_FS!$S$5</f>
        <v>0.14285714285714285</v>
      </c>
      <c r="I7" s="23">
        <f>Reels_FS!$T$5</f>
        <v>0.14285714285714285</v>
      </c>
      <c r="J7" s="23">
        <f>Reels_FS!$U$5</f>
        <v>0</v>
      </c>
      <c r="K7" s="24">
        <f t="shared" si="0"/>
        <v>0.125</v>
      </c>
      <c r="L7" s="24">
        <f t="shared" si="1"/>
        <v>3.125E-2</v>
      </c>
      <c r="M7" s="24">
        <f t="shared" si="1"/>
        <v>7.8125E-3</v>
      </c>
      <c r="N7" s="24">
        <f t="shared" si="1"/>
        <v>1.953125E-3</v>
      </c>
      <c r="O7" s="24">
        <f t="shared" si="1"/>
        <v>2.44140625E-4</v>
      </c>
      <c r="P7" s="24">
        <f t="shared" si="2"/>
        <v>5.859375E-3</v>
      </c>
      <c r="Q7" s="24">
        <f t="shared" si="2"/>
        <v>1.708984375E-3</v>
      </c>
      <c r="R7" s="24">
        <f t="shared" si="3"/>
        <v>2.44140625E-4</v>
      </c>
      <c r="S7" s="25">
        <f>Paytable!$C$8</f>
        <v>1.5</v>
      </c>
      <c r="T7" s="25">
        <f>Paytable!$D$8</f>
        <v>5</v>
      </c>
      <c r="U7" s="25">
        <f>Paytable!$E$8</f>
        <v>25</v>
      </c>
      <c r="V7" s="24">
        <f t="shared" si="4"/>
        <v>2.34375E-2</v>
      </c>
      <c r="W7" s="24">
        <f t="shared" si="5"/>
        <v>7.8125E-3</v>
      </c>
    </row>
    <row r="8" spans="1:23" x14ac:dyDescent="0.35">
      <c r="A8" s="7" t="s">
        <v>59</v>
      </c>
      <c r="B8" s="23">
        <f>Reels_FS!$Q$9</f>
        <v>0.125</v>
      </c>
      <c r="C8" s="23">
        <f>Reels_FS!$R$9</f>
        <v>0.10714285714285714</v>
      </c>
      <c r="D8" s="23">
        <f>Reels_FS!$S$9</f>
        <v>0.10714285714285714</v>
      </c>
      <c r="E8" s="23">
        <f>Reels_FS!$T$9</f>
        <v>0.10714285714285714</v>
      </c>
      <c r="F8" s="23">
        <f>Reels_FS!$U$9</f>
        <v>0.125</v>
      </c>
      <c r="G8" s="23">
        <f>Reels_FS!$R$5</f>
        <v>0.14285714285714285</v>
      </c>
      <c r="H8" s="23">
        <f>Reels_FS!$S$5</f>
        <v>0.14285714285714285</v>
      </c>
      <c r="I8" s="23">
        <f>Reels_FS!$T$5</f>
        <v>0.14285714285714285</v>
      </c>
      <c r="J8" s="23">
        <f>Reels_FS!$U$5</f>
        <v>0</v>
      </c>
      <c r="K8" s="24">
        <f t="shared" si="0"/>
        <v>0.125</v>
      </c>
      <c r="L8" s="24">
        <f t="shared" si="1"/>
        <v>3.125E-2</v>
      </c>
      <c r="M8" s="24">
        <f t="shared" si="1"/>
        <v>7.8125E-3</v>
      </c>
      <c r="N8" s="24">
        <f t="shared" si="1"/>
        <v>1.953125E-3</v>
      </c>
      <c r="O8" s="24">
        <f t="shared" si="1"/>
        <v>2.44140625E-4</v>
      </c>
      <c r="P8" s="24">
        <f t="shared" si="2"/>
        <v>5.859375E-3</v>
      </c>
      <c r="Q8" s="24">
        <f t="shared" si="2"/>
        <v>1.708984375E-3</v>
      </c>
      <c r="R8" s="24">
        <f t="shared" si="3"/>
        <v>2.44140625E-4</v>
      </c>
      <c r="S8" s="25">
        <f>Paytable!$C$9</f>
        <v>1</v>
      </c>
      <c r="T8" s="25">
        <f>Paytable!$D$9</f>
        <v>3</v>
      </c>
      <c r="U8" s="25">
        <f>Paytable!$E$9</f>
        <v>15</v>
      </c>
      <c r="V8" s="24">
        <f t="shared" si="4"/>
        <v>1.46484375E-2</v>
      </c>
      <c r="W8" s="24">
        <f t="shared" si="5"/>
        <v>7.8125E-3</v>
      </c>
    </row>
    <row r="9" spans="1:23" x14ac:dyDescent="0.35">
      <c r="A9" s="7" t="s">
        <v>61</v>
      </c>
      <c r="B9" s="23">
        <f>Reels_FS!$Q$10</f>
        <v>0.125</v>
      </c>
      <c r="C9" s="23">
        <f>Reels_FS!$R$10</f>
        <v>0.10714285714285714</v>
      </c>
      <c r="D9" s="23">
        <f>Reels_FS!$S$10</f>
        <v>0.10714285714285714</v>
      </c>
      <c r="E9" s="23">
        <f>Reels_FS!$T$10</f>
        <v>0.10714285714285714</v>
      </c>
      <c r="F9" s="23">
        <f>Reels_FS!$U$10</f>
        <v>0.125</v>
      </c>
      <c r="G9" s="23">
        <f>Reels_FS!$R$5</f>
        <v>0.14285714285714285</v>
      </c>
      <c r="H9" s="23">
        <f>Reels_FS!$S$5</f>
        <v>0.14285714285714285</v>
      </c>
      <c r="I9" s="23">
        <f>Reels_FS!$T$5</f>
        <v>0.14285714285714285</v>
      </c>
      <c r="J9" s="23">
        <f>Reels_FS!$U$5</f>
        <v>0</v>
      </c>
      <c r="K9" s="24">
        <f t="shared" si="0"/>
        <v>0.125</v>
      </c>
      <c r="L9" s="24">
        <f t="shared" si="1"/>
        <v>3.125E-2</v>
      </c>
      <c r="M9" s="24">
        <f t="shared" si="1"/>
        <v>7.8125E-3</v>
      </c>
      <c r="N9" s="24">
        <f t="shared" si="1"/>
        <v>1.953125E-3</v>
      </c>
      <c r="O9" s="24">
        <f t="shared" si="1"/>
        <v>2.44140625E-4</v>
      </c>
      <c r="P9" s="24">
        <f t="shared" si="2"/>
        <v>5.859375E-3</v>
      </c>
      <c r="Q9" s="24">
        <f t="shared" si="2"/>
        <v>1.708984375E-3</v>
      </c>
      <c r="R9" s="24">
        <f t="shared" si="3"/>
        <v>2.44140625E-4</v>
      </c>
      <c r="S9" s="25">
        <f>Paytable!$C$10</f>
        <v>0.8</v>
      </c>
      <c r="T9" s="25">
        <f>Paytable!$D$10</f>
        <v>2</v>
      </c>
      <c r="U9" s="25">
        <f>Paytable!$E$10</f>
        <v>10</v>
      </c>
      <c r="V9" s="24">
        <f t="shared" si="4"/>
        <v>1.0546875000000001E-2</v>
      </c>
      <c r="W9" s="24">
        <f t="shared" si="5"/>
        <v>7.8125E-3</v>
      </c>
    </row>
    <row r="10" spans="1:23" x14ac:dyDescent="0.35">
      <c r="A10" s="7" t="s">
        <v>63</v>
      </c>
      <c r="B10" s="23">
        <f>Reels_FS!$Q$11</f>
        <v>0.125</v>
      </c>
      <c r="C10" s="23">
        <f>Reels_FS!$R$11</f>
        <v>0.10714285714285714</v>
      </c>
      <c r="D10" s="23">
        <f>Reels_FS!$S$11</f>
        <v>0.10714285714285714</v>
      </c>
      <c r="E10" s="23">
        <f>Reels_FS!$T$11</f>
        <v>0.10714285714285714</v>
      </c>
      <c r="F10" s="23">
        <f>Reels_FS!$U$11</f>
        <v>0.125</v>
      </c>
      <c r="G10" s="23">
        <f>Reels_FS!$R$5</f>
        <v>0.14285714285714285</v>
      </c>
      <c r="H10" s="23">
        <f>Reels_FS!$S$5</f>
        <v>0.14285714285714285</v>
      </c>
      <c r="I10" s="23">
        <f>Reels_FS!$T$5</f>
        <v>0.14285714285714285</v>
      </c>
      <c r="J10" s="23">
        <f>Reels_FS!$U$5</f>
        <v>0</v>
      </c>
      <c r="K10" s="24">
        <f t="shared" si="0"/>
        <v>0.125</v>
      </c>
      <c r="L10" s="24">
        <f t="shared" si="1"/>
        <v>3.125E-2</v>
      </c>
      <c r="M10" s="24">
        <f t="shared" si="1"/>
        <v>7.8125E-3</v>
      </c>
      <c r="N10" s="24">
        <f t="shared" si="1"/>
        <v>1.953125E-3</v>
      </c>
      <c r="O10" s="24">
        <f t="shared" si="1"/>
        <v>2.44140625E-4</v>
      </c>
      <c r="P10" s="24">
        <f t="shared" si="2"/>
        <v>5.859375E-3</v>
      </c>
      <c r="Q10" s="24">
        <f t="shared" si="2"/>
        <v>1.708984375E-3</v>
      </c>
      <c r="R10" s="24">
        <f t="shared" si="3"/>
        <v>2.44140625E-4</v>
      </c>
      <c r="S10" s="25">
        <f>Paytable!$C$11</f>
        <v>0.4</v>
      </c>
      <c r="T10" s="25">
        <f>Paytable!$D$11</f>
        <v>1.2</v>
      </c>
      <c r="U10" s="25">
        <f>Paytable!$E$11</f>
        <v>5</v>
      </c>
      <c r="V10" s="24">
        <f t="shared" si="4"/>
        <v>5.615234375E-3</v>
      </c>
      <c r="W10" s="24">
        <f t="shared" si="5"/>
        <v>7.8125E-3</v>
      </c>
    </row>
    <row r="11" spans="1:23" x14ac:dyDescent="0.35">
      <c r="A11" s="7" t="s">
        <v>64</v>
      </c>
      <c r="B11" s="23">
        <f>Reels_FS!$Q$12</f>
        <v>0.125</v>
      </c>
      <c r="C11" s="23">
        <f>Reels_FS!$R$12</f>
        <v>0.10714285714285714</v>
      </c>
      <c r="D11" s="23">
        <f>Reels_FS!$S$12</f>
        <v>0.10714285714285714</v>
      </c>
      <c r="E11" s="23">
        <f>Reels_FS!$T$12</f>
        <v>0.10714285714285714</v>
      </c>
      <c r="F11" s="23">
        <f>Reels_FS!$U$12</f>
        <v>0.125</v>
      </c>
      <c r="G11" s="23">
        <f>Reels_FS!$R$5</f>
        <v>0.14285714285714285</v>
      </c>
      <c r="H11" s="23">
        <f>Reels_FS!$S$5</f>
        <v>0.14285714285714285</v>
      </c>
      <c r="I11" s="23">
        <f>Reels_FS!$T$5</f>
        <v>0.14285714285714285</v>
      </c>
      <c r="J11" s="23">
        <f>Reels_FS!$U$5</f>
        <v>0</v>
      </c>
      <c r="K11" s="24">
        <f t="shared" si="0"/>
        <v>0.125</v>
      </c>
      <c r="L11" s="24">
        <f t="shared" si="1"/>
        <v>3.125E-2</v>
      </c>
      <c r="M11" s="24">
        <f t="shared" si="1"/>
        <v>7.8125E-3</v>
      </c>
      <c r="N11" s="24">
        <f t="shared" si="1"/>
        <v>1.953125E-3</v>
      </c>
      <c r="O11" s="24">
        <f t="shared" si="1"/>
        <v>2.44140625E-4</v>
      </c>
      <c r="P11" s="24">
        <f t="shared" si="2"/>
        <v>5.859375E-3</v>
      </c>
      <c r="Q11" s="24">
        <f t="shared" si="2"/>
        <v>1.708984375E-3</v>
      </c>
      <c r="R11" s="24">
        <f t="shared" si="3"/>
        <v>2.44140625E-4</v>
      </c>
      <c r="S11" s="25">
        <f>Paytable!$C$12</f>
        <v>0.3</v>
      </c>
      <c r="T11" s="25">
        <f>Paytable!$D$12</f>
        <v>1</v>
      </c>
      <c r="U11" s="25">
        <f>Paytable!$E$12</f>
        <v>4</v>
      </c>
      <c r="V11" s="24">
        <f t="shared" si="4"/>
        <v>4.4433593749999998E-3</v>
      </c>
      <c r="W11" s="24">
        <f t="shared" si="5"/>
        <v>7.8125E-3</v>
      </c>
    </row>
    <row r="12" spans="1:23" x14ac:dyDescent="0.35">
      <c r="A12" s="7" t="s">
        <v>65</v>
      </c>
      <c r="B12" s="23">
        <f>Reels_FS!$Q$13</f>
        <v>0.125</v>
      </c>
      <c r="C12" s="23">
        <f>Reels_FS!$R$13</f>
        <v>0.10714285714285714</v>
      </c>
      <c r="D12" s="23">
        <f>Reels_FS!$S$13</f>
        <v>0.10714285714285714</v>
      </c>
      <c r="E12" s="23">
        <f>Reels_FS!$T$13</f>
        <v>0.10714285714285714</v>
      </c>
      <c r="F12" s="23">
        <f>Reels_FS!$U$13</f>
        <v>0.125</v>
      </c>
      <c r="G12" s="23">
        <f>Reels_FS!$R$5</f>
        <v>0.14285714285714285</v>
      </c>
      <c r="H12" s="23">
        <f>Reels_FS!$S$5</f>
        <v>0.14285714285714285</v>
      </c>
      <c r="I12" s="23">
        <f>Reels_FS!$T$5</f>
        <v>0.14285714285714285</v>
      </c>
      <c r="J12" s="23">
        <f>Reels_FS!$U$5</f>
        <v>0</v>
      </c>
      <c r="K12" s="24">
        <f t="shared" si="0"/>
        <v>0.125</v>
      </c>
      <c r="L12" s="24">
        <f t="shared" si="1"/>
        <v>3.125E-2</v>
      </c>
      <c r="M12" s="24">
        <f t="shared" si="1"/>
        <v>7.8125E-3</v>
      </c>
      <c r="N12" s="24">
        <f t="shared" si="1"/>
        <v>1.953125E-3</v>
      </c>
      <c r="O12" s="24">
        <f t="shared" si="1"/>
        <v>2.44140625E-4</v>
      </c>
      <c r="P12" s="24">
        <f t="shared" si="2"/>
        <v>5.859375E-3</v>
      </c>
      <c r="Q12" s="24">
        <f t="shared" si="2"/>
        <v>1.708984375E-3</v>
      </c>
      <c r="R12" s="24">
        <f t="shared" si="3"/>
        <v>2.44140625E-4</v>
      </c>
      <c r="S12" s="25">
        <f>Paytable!$C$13</f>
        <v>0.3</v>
      </c>
      <c r="T12" s="25">
        <f>Paytable!$D$13</f>
        <v>0.8</v>
      </c>
      <c r="U12" s="25">
        <f>Paytable!$E$13</f>
        <v>3</v>
      </c>
      <c r="V12" s="24">
        <f t="shared" si="4"/>
        <v>3.8574218750000002E-3</v>
      </c>
      <c r="W12" s="24">
        <f t="shared" si="5"/>
        <v>7.8125E-3</v>
      </c>
    </row>
    <row r="13" spans="1:23" x14ac:dyDescent="0.35">
      <c r="A13" s="7" t="s">
        <v>66</v>
      </c>
      <c r="B13" s="23">
        <f>Reels_FS!$Q$14</f>
        <v>8.3333333333333329E-2</v>
      </c>
      <c r="C13" s="23">
        <f>Reels_FS!$R$14</f>
        <v>7.1428571428571425E-2</v>
      </c>
      <c r="D13" s="23">
        <f>Reels_FS!$S$14</f>
        <v>7.1428571428571425E-2</v>
      </c>
      <c r="E13" s="23">
        <f>Reels_FS!$T$14</f>
        <v>7.1428571428571425E-2</v>
      </c>
      <c r="F13" s="23">
        <f>Reels_FS!$U$14</f>
        <v>8.3333333333333329E-2</v>
      </c>
      <c r="G13" s="23">
        <f>Reels_FS!$R$5</f>
        <v>0.14285714285714285</v>
      </c>
      <c r="H13" s="23">
        <f>Reels_FS!$S$5</f>
        <v>0.14285714285714285</v>
      </c>
      <c r="I13" s="23">
        <f>Reels_FS!$T$5</f>
        <v>0.14285714285714285</v>
      </c>
      <c r="J13" s="23">
        <f>Reels_FS!$U$5</f>
        <v>0</v>
      </c>
      <c r="K13" s="24">
        <f t="shared" si="0"/>
        <v>8.3333333333333329E-2</v>
      </c>
      <c r="L13" s="24">
        <f t="shared" si="1"/>
        <v>1.7857142857142856E-2</v>
      </c>
      <c r="M13" s="24">
        <f t="shared" si="1"/>
        <v>3.8265306122448974E-3</v>
      </c>
      <c r="N13" s="24">
        <f t="shared" si="1"/>
        <v>8.1997084548104937E-4</v>
      </c>
      <c r="O13" s="24">
        <f t="shared" si="1"/>
        <v>6.8330903790087439E-5</v>
      </c>
      <c r="P13" s="24">
        <f t="shared" si="2"/>
        <v>3.006559766763848E-3</v>
      </c>
      <c r="Q13" s="24">
        <f t="shared" si="2"/>
        <v>7.5163994169096188E-4</v>
      </c>
      <c r="R13" s="24">
        <f t="shared" si="3"/>
        <v>6.8330903790087439E-5</v>
      </c>
      <c r="S13" s="25">
        <f>Paytable!$C$14</f>
        <v>0.2</v>
      </c>
      <c r="T13" s="25">
        <f>Paytable!$D$14</f>
        <v>0.6</v>
      </c>
      <c r="U13" s="25">
        <f>Paytable!$E$14</f>
        <v>2.5</v>
      </c>
      <c r="V13" s="24">
        <f t="shared" si="4"/>
        <v>1.2231231778425653E-3</v>
      </c>
      <c r="W13" s="24">
        <f t="shared" si="5"/>
        <v>3.8265306122448974E-3</v>
      </c>
    </row>
    <row r="14" spans="1:23" x14ac:dyDescent="0.35">
      <c r="A14" s="7" t="s">
        <v>120</v>
      </c>
      <c r="V14" s="26">
        <f>SUM(V6:V13)</f>
        <v>9.8928201302842564E-2</v>
      </c>
      <c r="W14" s="26">
        <f>SUM(W6:W13)</f>
        <v>5.8514030612244895E-2</v>
      </c>
    </row>
    <row r="15" spans="1:23" x14ac:dyDescent="0.35">
      <c r="A15" s="2" t="s">
        <v>121</v>
      </c>
      <c r="V15" s="7" t="str">
        <f>IF(Reels_FS!$Q$5=0,"OK","INVALID: wild on reel 1")</f>
        <v>OK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zoomScaleNormal="100" workbookViewId="0"/>
  </sheetViews>
  <sheetFormatPr defaultColWidth="8.6328125" defaultRowHeight="14.5" x14ac:dyDescent="0.35"/>
  <cols>
    <col min="1" max="1" width="34" customWidth="1"/>
    <col min="2" max="2" width="12" customWidth="1"/>
    <col min="3" max="3" width="10" customWidth="1"/>
    <col min="4" max="4" width="24" customWidth="1"/>
    <col min="5" max="10" width="12" customWidth="1"/>
  </cols>
  <sheetData>
    <row r="1" spans="1:10" ht="18" x14ac:dyDescent="0.4">
      <c r="A1" s="1" t="s">
        <v>124</v>
      </c>
    </row>
    <row r="2" spans="1:10" x14ac:dyDescent="0.35">
      <c r="A2" s="2" t="s">
        <v>125</v>
      </c>
    </row>
    <row r="4" spans="1:10" x14ac:dyDescent="0.35">
      <c r="A4" s="7" t="s">
        <v>126</v>
      </c>
    </row>
    <row r="5" spans="1:10" ht="28.5" x14ac:dyDescent="0.35">
      <c r="A5" s="3" t="s">
        <v>127</v>
      </c>
      <c r="B5" s="3" t="s">
        <v>128</v>
      </c>
      <c r="C5" s="3" t="s">
        <v>129</v>
      </c>
      <c r="D5" s="3" t="s">
        <v>130</v>
      </c>
      <c r="E5" s="3" t="s">
        <v>131</v>
      </c>
      <c r="F5" s="3" t="s">
        <v>132</v>
      </c>
      <c r="G5" s="3" t="s">
        <v>133</v>
      </c>
      <c r="H5" s="3" t="s">
        <v>134</v>
      </c>
      <c r="I5" s="3" t="s">
        <v>135</v>
      </c>
      <c r="J5" s="3" t="s">
        <v>136</v>
      </c>
    </row>
    <row r="6" spans="1:10" x14ac:dyDescent="0.35">
      <c r="A6" s="7">
        <v>0</v>
      </c>
      <c r="E6" s="27">
        <v>1</v>
      </c>
      <c r="F6" s="27">
        <v>0</v>
      </c>
      <c r="G6" s="27">
        <v>0</v>
      </c>
      <c r="H6" s="27">
        <v>0</v>
      </c>
      <c r="I6" s="27">
        <v>0</v>
      </c>
      <c r="J6" s="27">
        <v>0</v>
      </c>
    </row>
    <row r="7" spans="1:10" x14ac:dyDescent="0.35">
      <c r="A7" s="7">
        <v>1</v>
      </c>
      <c r="B7" s="12">
        <f>Reels_Base!$J$6</f>
        <v>1</v>
      </c>
      <c r="C7" s="12">
        <f>Reels_Base!$J$15</f>
        <v>36</v>
      </c>
      <c r="D7" s="24">
        <f>Paytable!$B$26*B7/C7</f>
        <v>8.3333333333333329E-2</v>
      </c>
      <c r="E7" s="24">
        <f>E6*(1-$D7)</f>
        <v>0.91666666666666663</v>
      </c>
      <c r="F7" s="24">
        <f t="shared" ref="F7:J11" si="0">F6*(1-$D7)+E6*$D7</f>
        <v>8.3333333333333329E-2</v>
      </c>
      <c r="G7" s="24">
        <f t="shared" si="0"/>
        <v>0</v>
      </c>
      <c r="H7" s="24">
        <f t="shared" si="0"/>
        <v>0</v>
      </c>
      <c r="I7" s="24">
        <f t="shared" si="0"/>
        <v>0</v>
      </c>
      <c r="J7" s="24">
        <f t="shared" si="0"/>
        <v>0</v>
      </c>
    </row>
    <row r="8" spans="1:10" x14ac:dyDescent="0.35">
      <c r="A8" s="7">
        <v>2</v>
      </c>
      <c r="B8" s="12">
        <f>Reels_Base!$K$6</f>
        <v>1</v>
      </c>
      <c r="C8" s="12">
        <f>Reels_Base!$K$15</f>
        <v>36</v>
      </c>
      <c r="D8" s="24">
        <f>Paytable!$B$26*B8/C8</f>
        <v>8.3333333333333329E-2</v>
      </c>
      <c r="E8" s="24">
        <f>E7*(1-$D8)</f>
        <v>0.84027777777777768</v>
      </c>
      <c r="F8" s="24">
        <f t="shared" si="0"/>
        <v>0.15277777777777776</v>
      </c>
      <c r="G8" s="24">
        <f t="shared" si="0"/>
        <v>6.9444444444444441E-3</v>
      </c>
      <c r="H8" s="24">
        <f t="shared" si="0"/>
        <v>0</v>
      </c>
      <c r="I8" s="24">
        <f t="shared" si="0"/>
        <v>0</v>
      </c>
      <c r="J8" s="24">
        <f t="shared" si="0"/>
        <v>0</v>
      </c>
    </row>
    <row r="9" spans="1:10" x14ac:dyDescent="0.35">
      <c r="A9" s="7">
        <v>3</v>
      </c>
      <c r="B9" s="12">
        <f>Reels_Base!$L$6</f>
        <v>1</v>
      </c>
      <c r="C9" s="12">
        <f>Reels_Base!$L$15</f>
        <v>36</v>
      </c>
      <c r="D9" s="24">
        <f>Paytable!$B$26*B9/C9</f>
        <v>8.3333333333333329E-2</v>
      </c>
      <c r="E9" s="24">
        <f>E8*(1-$D9)</f>
        <v>0.77025462962962954</v>
      </c>
      <c r="F9" s="24">
        <f t="shared" si="0"/>
        <v>0.21006944444444442</v>
      </c>
      <c r="G9" s="24">
        <f t="shared" si="0"/>
        <v>1.909722222222222E-2</v>
      </c>
      <c r="H9" s="24">
        <f t="shared" si="0"/>
        <v>5.7870370370370367E-4</v>
      </c>
      <c r="I9" s="24">
        <f t="shared" si="0"/>
        <v>0</v>
      </c>
      <c r="J9" s="24">
        <f t="shared" si="0"/>
        <v>0</v>
      </c>
    </row>
    <row r="10" spans="1:10" x14ac:dyDescent="0.35">
      <c r="A10" s="7">
        <v>4</v>
      </c>
      <c r="B10" s="12">
        <f>Reels_Base!$M$6</f>
        <v>1</v>
      </c>
      <c r="C10" s="12">
        <f>Reels_Base!$M$15</f>
        <v>35</v>
      </c>
      <c r="D10" s="24">
        <f>Paytable!$B$26*B10/C10</f>
        <v>8.5714285714285715E-2</v>
      </c>
      <c r="E10" s="24">
        <f>E9*(1-$D10)</f>
        <v>0.7042328042328041</v>
      </c>
      <c r="F10" s="24">
        <f t="shared" si="0"/>
        <v>0.25808531746031743</v>
      </c>
      <c r="G10" s="24">
        <f t="shared" si="0"/>
        <v>3.546626984126984E-2</v>
      </c>
      <c r="H10" s="24">
        <f t="shared" si="0"/>
        <v>2.1660052910052905E-3</v>
      </c>
      <c r="I10" s="24">
        <f t="shared" si="0"/>
        <v>4.9603174603174603E-5</v>
      </c>
      <c r="J10" s="24">
        <f t="shared" si="0"/>
        <v>0</v>
      </c>
    </row>
    <row r="11" spans="1:10" x14ac:dyDescent="0.35">
      <c r="A11" s="7">
        <v>5</v>
      </c>
      <c r="B11" s="12">
        <f>Reels_Base!$N$6</f>
        <v>1</v>
      </c>
      <c r="C11" s="12">
        <f>Reels_Base!$N$15</f>
        <v>34</v>
      </c>
      <c r="D11" s="24">
        <f>Paytable!$B$26*B11/C11</f>
        <v>8.8235294117647065E-2</v>
      </c>
      <c r="E11" s="24">
        <f>E10*(1-$D11)</f>
        <v>0.64209461562402725</v>
      </c>
      <c r="F11" s="24">
        <f t="shared" si="0"/>
        <v>0.29745127217553685</v>
      </c>
      <c r="G11" s="24">
        <f t="shared" si="0"/>
        <v>5.5109126984126983E-2</v>
      </c>
      <c r="H11" s="24">
        <f t="shared" si="0"/>
        <v>5.1042639277933391E-3</v>
      </c>
      <c r="I11" s="24">
        <f t="shared" si="0"/>
        <v>2.3634453781512602E-4</v>
      </c>
      <c r="J11" s="24">
        <f t="shared" si="0"/>
        <v>4.3767507002801126E-6</v>
      </c>
    </row>
    <row r="12" spans="1:10" x14ac:dyDescent="0.35">
      <c r="A12" s="7" t="s">
        <v>93</v>
      </c>
      <c r="E12" s="24">
        <f>SUM(E11:J11)</f>
        <v>0.99999999999999989</v>
      </c>
    </row>
    <row r="14" spans="1:10" x14ac:dyDescent="0.35">
      <c r="A14" s="7" t="s">
        <v>137</v>
      </c>
    </row>
    <row r="15" spans="1:10" x14ac:dyDescent="0.35">
      <c r="A15" s="3" t="s">
        <v>68</v>
      </c>
      <c r="B15" s="3" t="s">
        <v>138</v>
      </c>
      <c r="C15" s="3" t="s">
        <v>139</v>
      </c>
      <c r="D15" s="3" t="s">
        <v>69</v>
      </c>
      <c r="E15" s="3" t="s">
        <v>140</v>
      </c>
      <c r="F15" s="3" t="s">
        <v>141</v>
      </c>
    </row>
    <row r="16" spans="1:10" x14ac:dyDescent="0.35">
      <c r="A16" s="7">
        <v>3</v>
      </c>
      <c r="B16" s="28">
        <f>Scatters!$H$11</f>
        <v>5.1042639277933391E-3</v>
      </c>
      <c r="C16" s="29">
        <f>1/B16</f>
        <v>195.91463414634148</v>
      </c>
      <c r="D16" s="25">
        <f>Paytable!$B$19</f>
        <v>2</v>
      </c>
      <c r="E16" s="30">
        <f>B16*D16</f>
        <v>1.0208527855586678E-2</v>
      </c>
      <c r="F16" s="12">
        <f>Paytable!$C$19</f>
        <v>10</v>
      </c>
    </row>
    <row r="17" spans="1:10" x14ac:dyDescent="0.35">
      <c r="A17" s="7">
        <v>4</v>
      </c>
      <c r="B17" s="28">
        <f>Scatters!$I$11</f>
        <v>2.3634453781512602E-4</v>
      </c>
      <c r="C17" s="29">
        <f>1/B17</f>
        <v>4231.1111111111113</v>
      </c>
      <c r="D17" s="25">
        <f>Paytable!$B$20</f>
        <v>10</v>
      </c>
      <c r="E17" s="30">
        <f>B17*D17</f>
        <v>2.3634453781512603E-3</v>
      </c>
      <c r="F17" s="12">
        <f>Paytable!$C$20</f>
        <v>15</v>
      </c>
    </row>
    <row r="18" spans="1:10" x14ac:dyDescent="0.35">
      <c r="A18" s="7">
        <v>5</v>
      </c>
      <c r="B18" s="28">
        <f>Scatters!$J$11</f>
        <v>4.3767507002801126E-6</v>
      </c>
      <c r="C18" s="29">
        <f>1/B18</f>
        <v>228479.99999999997</v>
      </c>
      <c r="D18" s="25">
        <f>Paytable!$B$21</f>
        <v>50</v>
      </c>
      <c r="E18" s="30">
        <f>B18*D18</f>
        <v>2.1883753501400564E-4</v>
      </c>
      <c r="F18" s="12">
        <f>Paytable!$C$21</f>
        <v>20</v>
      </c>
    </row>
    <row r="19" spans="1:10" x14ac:dyDescent="0.35">
      <c r="A19" s="7" t="s">
        <v>142</v>
      </c>
      <c r="B19" s="31">
        <f>SUM(B16:B18)</f>
        <v>5.3449852163087452E-3</v>
      </c>
      <c r="C19" s="10">
        <f>1/B19</f>
        <v>187.09125648257668</v>
      </c>
    </row>
    <row r="20" spans="1:10" x14ac:dyDescent="0.35">
      <c r="A20" s="7" t="s">
        <v>143</v>
      </c>
      <c r="E20" s="32">
        <f>SUM(E16:E18)</f>
        <v>1.2790810768751944E-2</v>
      </c>
    </row>
    <row r="23" spans="1:10" x14ac:dyDescent="0.35">
      <c r="A23" s="7" t="s">
        <v>144</v>
      </c>
    </row>
    <row r="24" spans="1:10" ht="28.5" x14ac:dyDescent="0.35">
      <c r="A24" s="3" t="s">
        <v>127</v>
      </c>
      <c r="B24" s="3" t="s">
        <v>128</v>
      </c>
      <c r="C24" s="3" t="s">
        <v>129</v>
      </c>
      <c r="D24" s="3" t="s">
        <v>130</v>
      </c>
      <c r="E24" s="3" t="s">
        <v>131</v>
      </c>
      <c r="F24" s="3" t="s">
        <v>132</v>
      </c>
      <c r="G24" s="3" t="s">
        <v>133</v>
      </c>
      <c r="H24" s="3" t="s">
        <v>134</v>
      </c>
      <c r="I24" s="3" t="s">
        <v>135</v>
      </c>
      <c r="J24" s="3" t="s">
        <v>136</v>
      </c>
    </row>
    <row r="25" spans="1:10" x14ac:dyDescent="0.35">
      <c r="A25" s="7">
        <v>0</v>
      </c>
      <c r="E25" s="27">
        <v>1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</row>
    <row r="26" spans="1:10" x14ac:dyDescent="0.35">
      <c r="A26" s="7">
        <v>1</v>
      </c>
      <c r="B26" s="12">
        <f>Reels_FS!$J$6</f>
        <v>1</v>
      </c>
      <c r="C26" s="12">
        <f>Reels_FS!$J$15</f>
        <v>24</v>
      </c>
      <c r="D26" s="24">
        <f>Paytable!$B$26*B26/C26</f>
        <v>0.125</v>
      </c>
      <c r="E26" s="24">
        <f>E25*(1-$D26)</f>
        <v>0.875</v>
      </c>
      <c r="F26" s="24">
        <f t="shared" ref="F26:J30" si="1">F25*(1-$D26)+E25*$D26</f>
        <v>0.125</v>
      </c>
      <c r="G26" s="24">
        <f t="shared" si="1"/>
        <v>0</v>
      </c>
      <c r="H26" s="24">
        <f t="shared" si="1"/>
        <v>0</v>
      </c>
      <c r="I26" s="24">
        <f t="shared" si="1"/>
        <v>0</v>
      </c>
      <c r="J26" s="24">
        <f t="shared" si="1"/>
        <v>0</v>
      </c>
    </row>
    <row r="27" spans="1:10" x14ac:dyDescent="0.35">
      <c r="A27" s="7">
        <v>2</v>
      </c>
      <c r="B27" s="12">
        <f>Reels_FS!$K$6</f>
        <v>1</v>
      </c>
      <c r="C27" s="12">
        <f>Reels_FS!$K$15</f>
        <v>28</v>
      </c>
      <c r="D27" s="24">
        <f>Paytable!$B$26*B27/C27</f>
        <v>0.10714285714285714</v>
      </c>
      <c r="E27" s="24">
        <f>E26*(1-$D27)</f>
        <v>0.78125</v>
      </c>
      <c r="F27" s="24">
        <f t="shared" si="1"/>
        <v>0.20535714285714285</v>
      </c>
      <c r="G27" s="24">
        <f t="shared" si="1"/>
        <v>1.3392857142857142E-2</v>
      </c>
      <c r="H27" s="24">
        <f t="shared" si="1"/>
        <v>0</v>
      </c>
      <c r="I27" s="24">
        <f t="shared" si="1"/>
        <v>0</v>
      </c>
      <c r="J27" s="24">
        <f t="shared" si="1"/>
        <v>0</v>
      </c>
    </row>
    <row r="28" spans="1:10" x14ac:dyDescent="0.35">
      <c r="A28" s="7">
        <v>3</v>
      </c>
      <c r="B28" s="12">
        <f>Reels_FS!$L$6</f>
        <v>1</v>
      </c>
      <c r="C28" s="12">
        <f>Reels_FS!$L$15</f>
        <v>28</v>
      </c>
      <c r="D28" s="24">
        <f>Paytable!$B$26*B28/C28</f>
        <v>0.10714285714285714</v>
      </c>
      <c r="E28" s="24">
        <f>E27*(1-$D28)</f>
        <v>0.6975446428571429</v>
      </c>
      <c r="F28" s="24">
        <f t="shared" si="1"/>
        <v>0.26705994897959184</v>
      </c>
      <c r="G28" s="24">
        <f t="shared" si="1"/>
        <v>3.3960459183673464E-2</v>
      </c>
      <c r="H28" s="24">
        <f t="shared" si="1"/>
        <v>1.4349489795918366E-3</v>
      </c>
      <c r="I28" s="24">
        <f t="shared" si="1"/>
        <v>0</v>
      </c>
      <c r="J28" s="24">
        <f t="shared" si="1"/>
        <v>0</v>
      </c>
    </row>
    <row r="29" spans="1:10" x14ac:dyDescent="0.35">
      <c r="A29" s="7">
        <v>4</v>
      </c>
      <c r="B29" s="12">
        <f>Reels_FS!$M$6</f>
        <v>1</v>
      </c>
      <c r="C29" s="12">
        <f>Reels_FS!$M$15</f>
        <v>28</v>
      </c>
      <c r="D29" s="24">
        <f>Paytable!$B$26*B29/C29</f>
        <v>0.10714285714285714</v>
      </c>
      <c r="E29" s="24">
        <f>E28*(1-$D29)</f>
        <v>0.62280771683673475</v>
      </c>
      <c r="F29" s="24">
        <f t="shared" si="1"/>
        <v>0.31318330903790093</v>
      </c>
      <c r="G29" s="24">
        <f t="shared" si="1"/>
        <v>5.8935404518950435E-2</v>
      </c>
      <c r="H29" s="24">
        <f t="shared" si="1"/>
        <v>4.9198250728862969E-3</v>
      </c>
      <c r="I29" s="24">
        <f t="shared" si="1"/>
        <v>1.5374453352769678E-4</v>
      </c>
      <c r="J29" s="24">
        <f t="shared" si="1"/>
        <v>0</v>
      </c>
    </row>
    <row r="30" spans="1:10" x14ac:dyDescent="0.35">
      <c r="A30" s="7">
        <v>5</v>
      </c>
      <c r="B30" s="12">
        <f>Reels_FS!$N$6</f>
        <v>1</v>
      </c>
      <c r="C30" s="12">
        <f>Reels_FS!$N$15</f>
        <v>24</v>
      </c>
      <c r="D30" s="24">
        <f>Paytable!$B$26*B30/C30</f>
        <v>0.125</v>
      </c>
      <c r="E30" s="24">
        <f>E29*(1-$D30)</f>
        <v>0.5449567522321429</v>
      </c>
      <c r="F30" s="24">
        <f t="shared" si="1"/>
        <v>0.35188636001275514</v>
      </c>
      <c r="G30" s="24">
        <f t="shared" si="1"/>
        <v>9.071639258381925E-2</v>
      </c>
      <c r="H30" s="24">
        <f t="shared" si="1"/>
        <v>1.1671772503644314E-2</v>
      </c>
      <c r="I30" s="24">
        <f t="shared" si="1"/>
        <v>7.4950460094752179E-4</v>
      </c>
      <c r="J30" s="24">
        <f t="shared" si="1"/>
        <v>1.9218066690962097E-5</v>
      </c>
    </row>
    <row r="31" spans="1:10" x14ac:dyDescent="0.35">
      <c r="A31" s="7" t="s">
        <v>93</v>
      </c>
      <c r="E31" s="24">
        <f>SUM(E30:J30)</f>
        <v>1</v>
      </c>
    </row>
    <row r="33" spans="1:2" x14ac:dyDescent="0.35">
      <c r="A33" s="7" t="s">
        <v>145</v>
      </c>
      <c r="B33" s="31">
        <f>Scatters!$H$30+Scatters!$I$30+Scatters!$J$30</f>
        <v>1.2440495171282798E-2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1"/>
  <sheetViews>
    <sheetView tabSelected="1" topLeftCell="A43" zoomScaleNormal="100" workbookViewId="0"/>
  </sheetViews>
  <sheetFormatPr defaultColWidth="8.6328125" defaultRowHeight="14.5" x14ac:dyDescent="0.35"/>
  <cols>
    <col min="1" max="1" width="23.453125" customWidth="1"/>
    <col min="2" max="2" width="12.54296875" hidden="1" customWidth="1"/>
    <col min="3" max="3" width="13.26953125" hidden="1" customWidth="1"/>
    <col min="4" max="4" width="11" hidden="1" customWidth="1"/>
    <col min="5" max="5" width="10.90625" hidden="1" customWidth="1"/>
    <col min="6" max="26" width="9" customWidth="1"/>
  </cols>
  <sheetData>
    <row r="1" spans="1:26" ht="18" x14ac:dyDescent="0.4">
      <c r="A1" s="1" t="s">
        <v>146</v>
      </c>
    </row>
    <row r="2" spans="1:26" x14ac:dyDescent="0.35">
      <c r="A2" s="2" t="s">
        <v>147</v>
      </c>
    </row>
    <row r="3" spans="1:26" x14ac:dyDescent="0.35">
      <c r="A3" s="2" t="s">
        <v>148</v>
      </c>
    </row>
    <row r="5" spans="1:26" ht="70.5" x14ac:dyDescent="0.35">
      <c r="A5" s="3" t="s">
        <v>149</v>
      </c>
      <c r="B5" s="3" t="s">
        <v>150</v>
      </c>
      <c r="C5" s="3" t="s">
        <v>151</v>
      </c>
      <c r="D5" s="3" t="s">
        <v>152</v>
      </c>
    </row>
    <row r="6" spans="1:26" x14ac:dyDescent="0.35">
      <c r="A6" s="7" t="s">
        <v>153</v>
      </c>
      <c r="B6" s="33">
        <v>4.7973988702623904E-3</v>
      </c>
      <c r="C6" s="33">
        <v>2.0220838521420498E-2</v>
      </c>
      <c r="D6" s="2" t="s">
        <v>154</v>
      </c>
    </row>
    <row r="7" spans="1:26" x14ac:dyDescent="0.35">
      <c r="A7" s="7" t="s">
        <v>155</v>
      </c>
      <c r="B7" s="33">
        <v>0.47059588344266301</v>
      </c>
      <c r="C7" s="33">
        <v>1.95834318753543</v>
      </c>
      <c r="D7" s="2" t="s">
        <v>154</v>
      </c>
    </row>
    <row r="8" spans="1:26" x14ac:dyDescent="0.35">
      <c r="A8" s="7" t="s">
        <v>156</v>
      </c>
      <c r="B8" s="33">
        <v>7.6430963010204103E-3</v>
      </c>
      <c r="C8" s="33">
        <v>0</v>
      </c>
      <c r="D8" s="2" t="s">
        <v>154</v>
      </c>
    </row>
    <row r="9" spans="1:26" x14ac:dyDescent="0.35">
      <c r="A9" s="7" t="s">
        <v>157</v>
      </c>
      <c r="B9" s="33">
        <v>0.51696362138605501</v>
      </c>
      <c r="C9" s="33">
        <v>0</v>
      </c>
      <c r="D9" s="2" t="s">
        <v>154</v>
      </c>
    </row>
    <row r="10" spans="1:26" x14ac:dyDescent="0.35">
      <c r="A10" s="7" t="s">
        <v>158</v>
      </c>
      <c r="B10" s="34">
        <f>SUM(B6:B9)</f>
        <v>1.0000000000000009</v>
      </c>
    </row>
    <row r="11" spans="1:26" x14ac:dyDescent="0.35">
      <c r="A11" s="7" t="s">
        <v>159</v>
      </c>
      <c r="B11" s="34">
        <f>B6+B8</f>
        <v>1.24404951712828E-2</v>
      </c>
      <c r="C11" s="35">
        <f>Scatters!$B$33</f>
        <v>1.2440495171282798E-2</v>
      </c>
      <c r="D11" s="7" t="str">
        <f>IF(ABS(B11-C11)&lt;0.000000001,"OK","MISMATCH")</f>
        <v>OK</v>
      </c>
    </row>
    <row r="12" spans="1:26" x14ac:dyDescent="0.35">
      <c r="A12" s="7" t="s">
        <v>160</v>
      </c>
      <c r="B12" s="34">
        <f>C6+C7</f>
        <v>1.9785640260568504</v>
      </c>
      <c r="C12" s="35">
        <f>Paytable!$B$27*Lines_FS!$V$14</f>
        <v>1.9785640260568513</v>
      </c>
      <c r="D12" s="7" t="str">
        <f>IF(ABS(B12-C12)&lt;0.000000001,"OK","MISMATCH")</f>
        <v>OK</v>
      </c>
    </row>
    <row r="13" spans="1:26" x14ac:dyDescent="0.35">
      <c r="A13" s="7" t="s">
        <v>161</v>
      </c>
    </row>
    <row r="14" spans="1:26" x14ac:dyDescent="0.35">
      <c r="A14" s="7" t="s">
        <v>162</v>
      </c>
      <c r="B14" s="36">
        <v>1</v>
      </c>
      <c r="C14" s="36">
        <v>1</v>
      </c>
      <c r="D14" s="36">
        <v>1</v>
      </c>
      <c r="E14" s="36">
        <v>1</v>
      </c>
      <c r="F14" s="36">
        <v>1</v>
      </c>
      <c r="G14" s="36">
        <v>2</v>
      </c>
      <c r="H14" s="36">
        <v>2</v>
      </c>
      <c r="I14" s="36">
        <v>2</v>
      </c>
      <c r="J14" s="36">
        <v>2</v>
      </c>
      <c r="K14" s="36">
        <v>2</v>
      </c>
      <c r="L14" s="36">
        <v>3</v>
      </c>
      <c r="M14" s="36">
        <v>3</v>
      </c>
      <c r="N14" s="36">
        <v>3</v>
      </c>
      <c r="O14" s="36">
        <v>3</v>
      </c>
      <c r="P14" s="36">
        <v>3</v>
      </c>
      <c r="Q14" s="36">
        <v>4</v>
      </c>
      <c r="R14" s="36">
        <v>4</v>
      </c>
      <c r="S14" s="36">
        <v>4</v>
      </c>
      <c r="T14" s="36">
        <v>4</v>
      </c>
      <c r="U14" s="36">
        <v>4</v>
      </c>
      <c r="V14" s="36">
        <v>5</v>
      </c>
      <c r="W14" s="36">
        <v>5</v>
      </c>
      <c r="X14" s="36">
        <v>5</v>
      </c>
      <c r="Y14" s="36">
        <v>5</v>
      </c>
      <c r="Z14" s="36">
        <v>5</v>
      </c>
    </row>
    <row r="15" spans="1:26" x14ac:dyDescent="0.35">
      <c r="A15" s="7" t="s">
        <v>163</v>
      </c>
      <c r="B15" s="36">
        <v>0</v>
      </c>
      <c r="C15" s="36">
        <v>1</v>
      </c>
      <c r="D15" s="36">
        <v>2</v>
      </c>
      <c r="E15" s="36">
        <v>3</v>
      </c>
      <c r="F15" s="36">
        <v>4</v>
      </c>
      <c r="G15" s="36">
        <v>0</v>
      </c>
      <c r="H15" s="36">
        <v>1</v>
      </c>
      <c r="I15" s="36">
        <v>2</v>
      </c>
      <c r="J15" s="36">
        <v>3</v>
      </c>
      <c r="K15" s="36">
        <v>4</v>
      </c>
      <c r="L15" s="36">
        <v>0</v>
      </c>
      <c r="M15" s="36">
        <v>1</v>
      </c>
      <c r="N15" s="36">
        <v>2</v>
      </c>
      <c r="O15" s="36">
        <v>3</v>
      </c>
      <c r="P15" s="36">
        <v>4</v>
      </c>
      <c r="Q15" s="36">
        <v>0</v>
      </c>
      <c r="R15" s="36">
        <v>1</v>
      </c>
      <c r="S15" s="36">
        <v>2</v>
      </c>
      <c r="T15" s="36">
        <v>3</v>
      </c>
      <c r="U15" s="36">
        <v>4</v>
      </c>
      <c r="V15" s="36">
        <v>0</v>
      </c>
      <c r="W15" s="36">
        <v>1</v>
      </c>
      <c r="X15" s="36">
        <v>2</v>
      </c>
      <c r="Y15" s="36">
        <v>3</v>
      </c>
      <c r="Z15" s="36">
        <v>4</v>
      </c>
    </row>
    <row r="16" spans="1:26" x14ac:dyDescent="0.35">
      <c r="A16" s="7" t="s">
        <v>164</v>
      </c>
      <c r="B16" s="37">
        <v>0</v>
      </c>
      <c r="C16" s="37">
        <v>0</v>
      </c>
      <c r="D16" s="37">
        <v>0</v>
      </c>
      <c r="E16" s="37">
        <v>0</v>
      </c>
      <c r="F16" s="37">
        <v>0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7">
        <v>0</v>
      </c>
      <c r="Z16" s="37">
        <v>0</v>
      </c>
    </row>
    <row r="17" spans="1:26" x14ac:dyDescent="0.35">
      <c r="A17" s="7">
        <v>1</v>
      </c>
      <c r="B17" s="38">
        <f t="shared" ref="B17:B36" si="0">1*($C$6+$C$7)+$B$7*G16+$B$9*B16+$B$6*H21+$B$8*C21</f>
        <v>2.3002244326429029</v>
      </c>
      <c r="C17" s="38">
        <f t="shared" ref="C17:C36" si="1">1*($C$6+$C$7)+$B$7*H16+$B$9*C16+$B$6*I21+$B$8*D21</f>
        <v>2.2999201868825492</v>
      </c>
      <c r="D17" s="38">
        <f t="shared" ref="D17:D36" si="2">1*($C$6+$C$7)+$B$7*I16+$B$9*D16+$B$6*J21+$B$8*E21</f>
        <v>2.2968675902072273</v>
      </c>
      <c r="E17" s="38">
        <f t="shared" ref="E17:E36" si="3">1*($C$6+$C$7)+$B$7*J16+$B$9*E16+$B$6*K21+$B$8*F21</f>
        <v>2.2656254108687954</v>
      </c>
      <c r="F17" s="38">
        <f t="shared" ref="F17:F52" si="4">1*($C$6+$C$7)+$B$7*K16+$B$9*F16+$B$6*K16+$B$8*F16</f>
        <v>1.9785640260568504</v>
      </c>
      <c r="G17" s="38">
        <f t="shared" ref="G17:G36" si="5">2*($C$6+$C$7)+$B$7*L16+$B$9*G16+$B$6*M21+$B$8*H21</f>
        <v>4.4011312140800012</v>
      </c>
      <c r="H17" s="38">
        <f t="shared" ref="H17:H36" si="6">2*($C$6+$C$7)+$B$7*M16+$B$9*H16+$B$6*N21+$B$8*I21</f>
        <v>4.4008261959778769</v>
      </c>
      <c r="I17" s="38">
        <f t="shared" ref="I17:I36" si="7">2*($C$6+$C$7)+$B$7*N16+$B$9*I16+$B$6*O21+$B$8*J21</f>
        <v>4.3977113076124734</v>
      </c>
      <c r="J17" s="38">
        <f t="shared" ref="J17:J36" si="8">2*($C$6+$C$7)+$B$7*O16+$B$9*J16+$B$6*P21+$B$8*K21</f>
        <v>4.3628440547310756</v>
      </c>
      <c r="K17" s="38">
        <f t="shared" ref="K17:K52" si="9">2*($C$6+$C$7)+$B$7*P16+$B$9*K16+$B$6*P16+$B$8*K16</f>
        <v>3.9571280521137009</v>
      </c>
      <c r="L17" s="38">
        <f t="shared" ref="L17:L36" si="10">3*($C$6+$C$7)+$B$7*Q16+$B$9*L16+$B$6*R21+$B$8*M21</f>
        <v>6.4860790030955631</v>
      </c>
      <c r="M17" s="38">
        <f t="shared" ref="M17:M36" si="11">3*($C$6+$C$7)+$B$7*R16+$B$9*M16+$B$6*S21+$B$8*N21</f>
        <v>6.485773818622862</v>
      </c>
      <c r="N17" s="38">
        <f t="shared" ref="N17:N36" si="12">3*($C$6+$C$7)+$B$7*S16+$B$9*N16+$B$6*T21+$B$8*O21</f>
        <v>6.4826399486480222</v>
      </c>
      <c r="O17" s="38">
        <f t="shared" ref="O17:O36" si="13">3*($C$6+$C$7)+$B$7*T16+$B$9*O16+$B$6*U21+$B$8*P21</f>
        <v>6.4459650721369037</v>
      </c>
      <c r="P17" s="38">
        <f t="shared" ref="P17:P52" si="14">3*($C$6+$C$7)+$B$7*U16+$B$9*P16+$B$6*U16+$B$8*P16</f>
        <v>5.9356920781705513</v>
      </c>
      <c r="Q17" s="38">
        <f t="shared" ref="Q17:Q36" si="15">4*($C$6+$C$7)+$B$7*V16+$B$9*Q16+$B$6*W21+$B$8*R21</f>
        <v>8.5397608318151494</v>
      </c>
      <c r="R17" s="38">
        <f t="shared" ref="R17:R36" si="16">4*($C$6+$C$7)+$B$7*W16+$B$9*R16+$B$6*X21+$B$8*S21</f>
        <v>8.5394556244900581</v>
      </c>
      <c r="S17" s="38">
        <f t="shared" ref="S17:S36" si="17">4*($C$6+$C$7)+$B$7*X16+$B$9*S16+$B$6*Y21+$B$8*T21</f>
        <v>8.5363180942773997</v>
      </c>
      <c r="T17" s="38">
        <f t="shared" ref="T17:T36" si="18">4*($C$6+$C$7)+$B$7*Y16+$B$9*T16+$B$6*Z21+$B$8*U21</f>
        <v>8.4990677762477382</v>
      </c>
      <c r="U17" s="38">
        <f t="shared" ref="U17:U52" si="19">4*($C$6+$C$7)+$B$7*Z16+$B$9*U16+$B$6*Z16+$B$8*U16</f>
        <v>7.9142561042274018</v>
      </c>
      <c r="V17" s="38">
        <f t="shared" ref="V17:V36" si="20">5*($C$6+$C$7)+$B$7*V16+$B$9*V16+$B$6*W21+$B$8*W21</f>
        <v>10.548957303740625</v>
      </c>
      <c r="W17" s="38">
        <f t="shared" ref="W17:W36" si="21">5*($C$6+$C$7)+$B$7*W16+$B$9*W16+$B$6*X21+$B$8*X21</f>
        <v>10.548652094915095</v>
      </c>
      <c r="X17" s="38">
        <f t="shared" ref="X17:X36" si="22">5*($C$6+$C$7)+$B$7*X16+$B$9*X16+$B$6*Y21+$B$8*Y21</f>
        <v>10.545514230884221</v>
      </c>
      <c r="Y17" s="38">
        <f t="shared" ref="Y17:Y36" si="23">5*($C$6+$C$7)+$B$7*Y16+$B$9*Y16+$B$6*Z21+$B$8*Z21</f>
        <v>10.508178035590106</v>
      </c>
      <c r="Z17" s="38">
        <f t="shared" ref="Z17:Z52" si="24">5*($C$6+$C$7)+$B$7*Z16+$B$9*Z16+$B$6*Z16+$B$8*Z16</f>
        <v>9.8928201302842531</v>
      </c>
    </row>
    <row r="18" spans="1:26" x14ac:dyDescent="0.35">
      <c r="A18" s="7">
        <v>2</v>
      </c>
      <c r="B18" s="38">
        <f t="shared" si="0"/>
        <v>5.6600737490944661</v>
      </c>
      <c r="C18" s="38">
        <f t="shared" si="1"/>
        <v>5.6593707807119955</v>
      </c>
      <c r="D18" s="38">
        <f t="shared" si="2"/>
        <v>5.6523981155752692</v>
      </c>
      <c r="E18" s="38">
        <f t="shared" si="3"/>
        <v>5.5805216654902265</v>
      </c>
      <c r="F18" s="38">
        <f t="shared" si="4"/>
        <v>4.8977240987271449</v>
      </c>
      <c r="G18" s="38">
        <f t="shared" si="5"/>
        <v>9.8458104171412177</v>
      </c>
      <c r="H18" s="38">
        <f t="shared" si="6"/>
        <v>9.8451063325844981</v>
      </c>
      <c r="I18" s="38">
        <f t="shared" si="7"/>
        <v>9.8380394200135282</v>
      </c>
      <c r="J18" s="38">
        <f t="shared" si="8"/>
        <v>9.7601466291242591</v>
      </c>
      <c r="K18" s="38">
        <f t="shared" si="9"/>
        <v>8.8548521508408466</v>
      </c>
      <c r="L18" s="38">
        <f t="shared" si="10"/>
        <v>13.985043012486418</v>
      </c>
      <c r="M18" s="38">
        <f t="shared" si="11"/>
        <v>13.984338701769939</v>
      </c>
      <c r="N18" s="38">
        <f t="shared" si="12"/>
        <v>13.977245358519667</v>
      </c>
      <c r="O18" s="38">
        <f t="shared" si="13"/>
        <v>13.896690924038596</v>
      </c>
      <c r="P18" s="38">
        <f t="shared" si="14"/>
        <v>12.811980202954551</v>
      </c>
      <c r="Q18" s="38">
        <f t="shared" si="15"/>
        <v>18.049455755641198</v>
      </c>
      <c r="R18" s="38">
        <f t="shared" si="16"/>
        <v>18.048751415661133</v>
      </c>
      <c r="S18" s="38">
        <f t="shared" si="17"/>
        <v>18.041653376591668</v>
      </c>
      <c r="T18" s="38">
        <f t="shared" si="18"/>
        <v>17.960352658069787</v>
      </c>
      <c r="U18" s="38">
        <f t="shared" si="19"/>
        <v>16.76910825506825</v>
      </c>
      <c r="V18" s="38">
        <f t="shared" si="20"/>
        <v>21.097902276576065</v>
      </c>
      <c r="W18" s="38">
        <f t="shared" si="21"/>
        <v>21.097197934782919</v>
      </c>
      <c r="X18" s="38">
        <f t="shared" si="22"/>
        <v>21.09009950025391</v>
      </c>
      <c r="Y18" s="38">
        <f t="shared" si="23"/>
        <v>21.008700714130654</v>
      </c>
      <c r="Z18" s="38">
        <f t="shared" si="24"/>
        <v>19.785640260568513</v>
      </c>
    </row>
    <row r="19" spans="1:26" x14ac:dyDescent="0.35">
      <c r="A19" s="7">
        <v>3</v>
      </c>
      <c r="B19" s="38">
        <f t="shared" si="0"/>
        <v>10.067414941508247</v>
      </c>
      <c r="C19" s="38">
        <f t="shared" si="1"/>
        <v>10.06620633113558</v>
      </c>
      <c r="D19" s="38">
        <f t="shared" si="2"/>
        <v>10.054397641693598</v>
      </c>
      <c r="E19" s="38">
        <f t="shared" si="3"/>
        <v>9.9331801305545131</v>
      </c>
      <c r="F19" s="38">
        <f t="shared" si="4"/>
        <v>8.7574802180108851</v>
      </c>
      <c r="G19" s="38">
        <f t="shared" si="5"/>
        <v>16.311487138282637</v>
      </c>
      <c r="H19" s="38">
        <f t="shared" si="6"/>
        <v>16.310277338722081</v>
      </c>
      <c r="I19" s="38">
        <f t="shared" si="7"/>
        <v>16.298364411161771</v>
      </c>
      <c r="J19" s="38">
        <f t="shared" si="8"/>
        <v>16.169980291425347</v>
      </c>
      <c r="K19" s="38">
        <f t="shared" si="9"/>
        <v>14.693172296181443</v>
      </c>
      <c r="L19" s="38">
        <f t="shared" si="10"/>
        <v>22.465787809544263</v>
      </c>
      <c r="M19" s="38">
        <f t="shared" si="11"/>
        <v>22.464577782583536</v>
      </c>
      <c r="N19" s="38">
        <f t="shared" si="12"/>
        <v>22.452637799748342</v>
      </c>
      <c r="O19" s="38">
        <f t="shared" si="13"/>
        <v>22.321416198178426</v>
      </c>
      <c r="P19" s="38">
        <f t="shared" si="14"/>
        <v>20.628864374351998</v>
      </c>
      <c r="Q19" s="38">
        <f t="shared" si="15"/>
        <v>28.060837671573818</v>
      </c>
      <c r="R19" s="38">
        <f t="shared" si="16"/>
        <v>28.059627616804068</v>
      </c>
      <c r="S19" s="38">
        <f t="shared" si="17"/>
        <v>28.047683178899756</v>
      </c>
      <c r="T19" s="38">
        <f t="shared" si="18"/>
        <v>27.915751854761695</v>
      </c>
      <c r="U19" s="38">
        <f t="shared" si="19"/>
        <v>26.117403410592424</v>
      </c>
      <c r="V19" s="38">
        <f t="shared" si="20"/>
        <v>31.646832749585364</v>
      </c>
      <c r="W19" s="38">
        <f t="shared" si="21"/>
        <v>31.645622693184585</v>
      </c>
      <c r="X19" s="38">
        <f t="shared" si="22"/>
        <v>31.633677906788513</v>
      </c>
      <c r="Y19" s="38">
        <f t="shared" si="23"/>
        <v>31.501663272054056</v>
      </c>
      <c r="Z19" s="38">
        <f t="shared" si="24"/>
        <v>29.678460390852781</v>
      </c>
    </row>
    <row r="20" spans="1:26" x14ac:dyDescent="0.35">
      <c r="A20" s="7">
        <v>4</v>
      </c>
      <c r="B20" s="38">
        <f t="shared" si="0"/>
        <v>15.503505836866958</v>
      </c>
      <c r="C20" s="38">
        <f t="shared" si="1"/>
        <v>15.501671695496995</v>
      </c>
      <c r="D20" s="38">
        <f t="shared" si="2"/>
        <v>15.48406281354351</v>
      </c>
      <c r="E20" s="38">
        <f t="shared" si="3"/>
        <v>15.305621810686809</v>
      </c>
      <c r="F20" s="38">
        <f t="shared" si="4"/>
        <v>13.557832383908076</v>
      </c>
      <c r="G20" s="38">
        <f t="shared" si="5"/>
        <v>23.770326535465347</v>
      </c>
      <c r="H20" s="38">
        <f t="shared" si="6"/>
        <v>23.768491285236102</v>
      </c>
      <c r="I20" s="38">
        <f t="shared" si="7"/>
        <v>23.750782205654854</v>
      </c>
      <c r="J20" s="38">
        <f t="shared" si="8"/>
        <v>23.565031831978271</v>
      </c>
      <c r="K20" s="38">
        <f t="shared" si="9"/>
        <v>21.472088488135483</v>
      </c>
      <c r="L20" s="38">
        <f t="shared" si="10"/>
        <v>31.691181643261704</v>
      </c>
      <c r="M20" s="38">
        <f t="shared" si="11"/>
        <v>31.689346192319377</v>
      </c>
      <c r="N20" s="38">
        <f t="shared" si="12"/>
        <v>31.671612921890155</v>
      </c>
      <c r="O20" s="38">
        <f t="shared" si="13"/>
        <v>31.483250612021035</v>
      </c>
      <c r="P20" s="38">
        <f t="shared" si="14"/>
        <v>29.173771040063524</v>
      </c>
      <c r="Q20" s="38">
        <f t="shared" si="15"/>
        <v>38.331706116288693</v>
      </c>
      <c r="R20" s="38">
        <f t="shared" si="16"/>
        <v>38.329870642079719</v>
      </c>
      <c r="S20" s="38">
        <f t="shared" si="17"/>
        <v>38.312133660626728</v>
      </c>
      <c r="T20" s="38">
        <f t="shared" si="18"/>
        <v>38.123182271899942</v>
      </c>
      <c r="U20" s="38">
        <f t="shared" si="19"/>
        <v>35.724562081169175</v>
      </c>
      <c r="V20" s="38">
        <f t="shared" si="20"/>
        <v>42.19574635916792</v>
      </c>
      <c r="W20" s="38">
        <f t="shared" si="21"/>
        <v>42.193910883663463</v>
      </c>
      <c r="X20" s="38">
        <f t="shared" si="22"/>
        <v>42.176173631201067</v>
      </c>
      <c r="Y20" s="38">
        <f t="shared" si="23"/>
        <v>41.987159761004342</v>
      </c>
      <c r="Z20" s="38">
        <f t="shared" si="24"/>
        <v>39.571280521137062</v>
      </c>
    </row>
    <row r="21" spans="1:26" x14ac:dyDescent="0.35">
      <c r="A21" s="7">
        <v>5</v>
      </c>
      <c r="B21" s="38">
        <f t="shared" si="0"/>
        <v>21.943868090408891</v>
      </c>
      <c r="C21" s="38">
        <f t="shared" si="1"/>
        <v>21.941275077776488</v>
      </c>
      <c r="D21" s="38">
        <f t="shared" si="2"/>
        <v>21.916853131311765</v>
      </c>
      <c r="E21" s="38">
        <f t="shared" si="3"/>
        <v>21.674087664979851</v>
      </c>
      <c r="F21" s="38">
        <f t="shared" si="4"/>
        <v>19.298780596418705</v>
      </c>
      <c r="G21" s="38">
        <f t="shared" si="5"/>
        <v>32.095220069153477</v>
      </c>
      <c r="H21" s="38">
        <f t="shared" si="6"/>
        <v>32.092626100736716</v>
      </c>
      <c r="I21" s="38">
        <f t="shared" si="7"/>
        <v>32.068115636869685</v>
      </c>
      <c r="J21" s="38">
        <f t="shared" si="8"/>
        <v>31.818581072419416</v>
      </c>
      <c r="K21" s="38">
        <f t="shared" si="9"/>
        <v>29.090544687942458</v>
      </c>
      <c r="L21" s="38">
        <f t="shared" si="10"/>
        <v>41.424234379700486</v>
      </c>
      <c r="M21" s="38">
        <f t="shared" si="11"/>
        <v>41.421640247073967</v>
      </c>
      <c r="N21" s="38">
        <f t="shared" si="12"/>
        <v>41.397109815148774</v>
      </c>
      <c r="O21" s="38">
        <f t="shared" si="13"/>
        <v>41.145375137350129</v>
      </c>
      <c r="P21" s="38">
        <f t="shared" si="14"/>
        <v>38.223665173011419</v>
      </c>
      <c r="Q21" s="38">
        <f t="shared" si="15"/>
        <v>48.736782383354083</v>
      </c>
      <c r="R21" s="38">
        <f t="shared" si="16"/>
        <v>48.734188232635979</v>
      </c>
      <c r="S21" s="38">
        <f t="shared" si="17"/>
        <v>48.709654933993406</v>
      </c>
      <c r="T21" s="38">
        <f t="shared" si="18"/>
        <v>48.457468775861322</v>
      </c>
      <c r="U21" s="38">
        <f t="shared" si="19"/>
        <v>45.467522290706597</v>
      </c>
      <c r="V21" s="38">
        <f t="shared" si="20"/>
        <v>52.744640543124078</v>
      </c>
      <c r="W21" s="38">
        <f t="shared" si="21"/>
        <v>52.742046391447204</v>
      </c>
      <c r="X21" s="38">
        <f t="shared" si="22"/>
        <v>52.717512896491591</v>
      </c>
      <c r="Y21" s="38">
        <f t="shared" si="23"/>
        <v>52.465283062576511</v>
      </c>
      <c r="Z21" s="38">
        <f t="shared" si="24"/>
        <v>49.46410065142134</v>
      </c>
    </row>
    <row r="22" spans="1:26" x14ac:dyDescent="0.35">
      <c r="A22" s="7">
        <v>6</v>
      </c>
      <c r="B22" s="38">
        <f t="shared" si="0"/>
        <v>29.314623186247953</v>
      </c>
      <c r="C22" s="38">
        <f t="shared" si="1"/>
        <v>29.311124075968777</v>
      </c>
      <c r="D22" s="38">
        <f t="shared" si="2"/>
        <v>29.278827106744242</v>
      </c>
      <c r="E22" s="38">
        <f t="shared" si="3"/>
        <v>28.965283211143234</v>
      </c>
      <c r="F22" s="38">
        <f t="shared" si="4"/>
        <v>25.93228349357889</v>
      </c>
      <c r="G22" s="38">
        <f t="shared" si="5"/>
        <v>41.108148437067143</v>
      </c>
      <c r="H22" s="38">
        <f t="shared" si="6"/>
        <v>41.104648545978648</v>
      </c>
      <c r="I22" s="38">
        <f t="shared" si="7"/>
        <v>41.072277820225729</v>
      </c>
      <c r="J22" s="38">
        <f t="shared" si="8"/>
        <v>40.752878930235347</v>
      </c>
      <c r="K22" s="38">
        <f t="shared" si="9"/>
        <v>37.389496865212536</v>
      </c>
      <c r="L22" s="38">
        <f t="shared" si="10"/>
        <v>51.483223778043026</v>
      </c>
      <c r="M22" s="38">
        <f t="shared" si="11"/>
        <v>51.479723759311014</v>
      </c>
      <c r="N22" s="38">
        <f t="shared" si="12"/>
        <v>51.447337425080157</v>
      </c>
      <c r="O22" s="38">
        <f t="shared" si="13"/>
        <v>51.126195519017863</v>
      </c>
      <c r="P22" s="38">
        <f t="shared" si="14"/>
        <v>47.603038262968958</v>
      </c>
      <c r="Q22" s="38">
        <f t="shared" si="15"/>
        <v>59.211265048456866</v>
      </c>
      <c r="R22" s="38">
        <f t="shared" si="16"/>
        <v>59.207765016326725</v>
      </c>
      <c r="S22" s="38">
        <f t="shared" si="17"/>
        <v>59.175376576604343</v>
      </c>
      <c r="T22" s="38">
        <f t="shared" si="18"/>
        <v>58.853906712570087</v>
      </c>
      <c r="U22" s="38">
        <f t="shared" si="19"/>
        <v>55.281724899855028</v>
      </c>
      <c r="V22" s="38">
        <f t="shared" si="20"/>
        <v>63.293512537128443</v>
      </c>
      <c r="W22" s="38">
        <f t="shared" si="21"/>
        <v>63.290012504320927</v>
      </c>
      <c r="X22" s="38">
        <f t="shared" si="22"/>
        <v>63.257623928867247</v>
      </c>
      <c r="Y22" s="38">
        <f t="shared" si="23"/>
        <v>62.93612490287255</v>
      </c>
      <c r="Z22" s="38">
        <f t="shared" si="24"/>
        <v>59.356920781705639</v>
      </c>
    </row>
    <row r="23" spans="1:26" x14ac:dyDescent="0.35">
      <c r="A23" s="7">
        <v>7</v>
      </c>
      <c r="B23" s="38">
        <f t="shared" si="0"/>
        <v>37.492705323847318</v>
      </c>
      <c r="C23" s="38">
        <f t="shared" si="1"/>
        <v>37.488138613446175</v>
      </c>
      <c r="D23" s="38">
        <f t="shared" si="2"/>
        <v>37.446855703322271</v>
      </c>
      <c r="E23" s="38">
        <f t="shared" si="3"/>
        <v>37.056569881607615</v>
      </c>
      <c r="F23" s="38">
        <f t="shared" si="4"/>
        <v>33.357529790536212</v>
      </c>
      <c r="G23" s="38">
        <f t="shared" si="5"/>
        <v>50.631041031970803</v>
      </c>
      <c r="H23" s="38">
        <f t="shared" si="6"/>
        <v>50.626473708652966</v>
      </c>
      <c r="I23" s="38">
        <f t="shared" si="7"/>
        <v>50.585131984593914</v>
      </c>
      <c r="J23" s="38">
        <f t="shared" si="8"/>
        <v>50.190038062114333</v>
      </c>
      <c r="K23" s="38">
        <f t="shared" si="9"/>
        <v>46.202073886444637</v>
      </c>
      <c r="L23" s="38">
        <f t="shared" si="10"/>
        <v>61.743563919253958</v>
      </c>
      <c r="M23" s="38">
        <f t="shared" si="11"/>
        <v>61.738996500381496</v>
      </c>
      <c r="N23" s="38">
        <f t="shared" si="12"/>
        <v>61.697643058309964</v>
      </c>
      <c r="O23" s="38">
        <f t="shared" si="13"/>
        <v>61.301229946506716</v>
      </c>
      <c r="P23" s="38">
        <f t="shared" si="14"/>
        <v>57.189126385301215</v>
      </c>
      <c r="Q23" s="38">
        <f t="shared" si="15"/>
        <v>69.721634255267659</v>
      </c>
      <c r="R23" s="38">
        <f t="shared" si="16"/>
        <v>69.717066826818424</v>
      </c>
      <c r="S23" s="38">
        <f t="shared" si="17"/>
        <v>69.675711894233004</v>
      </c>
      <c r="T23" s="38">
        <f t="shared" si="18"/>
        <v>69.279069689331038</v>
      </c>
      <c r="U23" s="38">
        <f t="shared" si="19"/>
        <v>65.133301750423541</v>
      </c>
      <c r="V23" s="38">
        <f t="shared" si="20"/>
        <v>73.842359371581722</v>
      </c>
      <c r="W23" s="38">
        <f t="shared" si="21"/>
        <v>73.837791942669583</v>
      </c>
      <c r="X23" s="38">
        <f t="shared" si="22"/>
        <v>73.796436919318694</v>
      </c>
      <c r="Y23" s="38">
        <f t="shared" si="23"/>
        <v>73.399775866876297</v>
      </c>
      <c r="Z23" s="38">
        <f t="shared" si="24"/>
        <v>69.249740911989946</v>
      </c>
    </row>
    <row r="24" spans="1:26" x14ac:dyDescent="0.35">
      <c r="A24" s="7">
        <v>8</v>
      </c>
      <c r="B24" s="38">
        <f t="shared" si="0"/>
        <v>46.329879051497969</v>
      </c>
      <c r="C24" s="38">
        <f t="shared" si="1"/>
        <v>46.324068614072523</v>
      </c>
      <c r="D24" s="38">
        <f t="shared" si="2"/>
        <v>46.272640613859323</v>
      </c>
      <c r="E24" s="38">
        <f t="shared" si="3"/>
        <v>45.800001155208932</v>
      </c>
      <c r="F24" s="38">
        <f t="shared" si="4"/>
        <v>41.442303794160104</v>
      </c>
      <c r="G24" s="38">
        <f t="shared" si="5"/>
        <v>60.512872110346557</v>
      </c>
      <c r="H24" s="38">
        <f t="shared" si="6"/>
        <v>60.507061206662684</v>
      </c>
      <c r="I24" s="38">
        <f t="shared" si="7"/>
        <v>60.455587912413264</v>
      </c>
      <c r="J24" s="38">
        <f t="shared" si="8"/>
        <v>59.97915983340981</v>
      </c>
      <c r="K24" s="38">
        <f t="shared" si="9"/>
        <v>55.382372888934228</v>
      </c>
      <c r="L24" s="38">
        <f t="shared" si="10"/>
        <v>72.124989375325384</v>
      </c>
      <c r="M24" s="38">
        <f t="shared" si="11"/>
        <v>72.119178402175351</v>
      </c>
      <c r="N24" s="38">
        <f t="shared" si="12"/>
        <v>72.067696584111332</v>
      </c>
      <c r="O24" s="38">
        <f t="shared" si="13"/>
        <v>71.5903051869509</v>
      </c>
      <c r="P24" s="38">
        <f t="shared" si="14"/>
        <v>66.901426065566781</v>
      </c>
      <c r="Q24" s="38">
        <f t="shared" si="15"/>
        <v>80.25055033033955</v>
      </c>
      <c r="R24" s="38">
        <f t="shared" si="16"/>
        <v>80.244739350528562</v>
      </c>
      <c r="S24" s="38">
        <f t="shared" si="17"/>
        <v>80.193256506842005</v>
      </c>
      <c r="T24" s="38">
        <f t="shared" si="18"/>
        <v>79.71570982043481</v>
      </c>
      <c r="U24" s="38">
        <f t="shared" si="19"/>
        <v>75.004485379109525</v>
      </c>
      <c r="V24" s="38">
        <f t="shared" si="20"/>
        <v>84.391177868827</v>
      </c>
      <c r="W24" s="38">
        <f t="shared" si="21"/>
        <v>84.385366888707608</v>
      </c>
      <c r="X24" s="38">
        <f t="shared" si="22"/>
        <v>84.333883985842448</v>
      </c>
      <c r="Y24" s="38">
        <f t="shared" si="23"/>
        <v>83.856325412649539</v>
      </c>
      <c r="Z24" s="38">
        <f t="shared" si="24"/>
        <v>79.142561042274266</v>
      </c>
    </row>
    <row r="25" spans="1:26" x14ac:dyDescent="0.35">
      <c r="A25" s="7">
        <v>9</v>
      </c>
      <c r="B25" s="38">
        <f t="shared" si="0"/>
        <v>55.677857207271579</v>
      </c>
      <c r="C25" s="38">
        <f t="shared" si="1"/>
        <v>55.670611981220823</v>
      </c>
      <c r="D25" s="38">
        <f t="shared" si="2"/>
        <v>55.607832773131335</v>
      </c>
      <c r="E25" s="38">
        <f t="shared" si="3"/>
        <v>55.047474790426122</v>
      </c>
      <c r="F25" s="38">
        <f t="shared" si="4"/>
        <v>50.047883022850634</v>
      </c>
      <c r="G25" s="38">
        <f t="shared" si="5"/>
        <v>70.637578325350916</v>
      </c>
      <c r="H25" s="38">
        <f t="shared" si="6"/>
        <v>70.630332753595638</v>
      </c>
      <c r="I25" s="38">
        <f t="shared" si="7"/>
        <v>70.567519645971359</v>
      </c>
      <c r="J25" s="38">
        <f t="shared" si="8"/>
        <v>70.004275859242398</v>
      </c>
      <c r="K25" s="38">
        <f t="shared" si="9"/>
        <v>64.815581439824456</v>
      </c>
      <c r="L25" s="38">
        <f t="shared" si="10"/>
        <v>82.577797432079933</v>
      </c>
      <c r="M25" s="38">
        <f t="shared" si="11"/>
        <v>82.57055181101012</v>
      </c>
      <c r="N25" s="38">
        <f t="shared" si="12"/>
        <v>82.507732660050053</v>
      </c>
      <c r="O25" s="38">
        <f t="shared" si="13"/>
        <v>81.943805527541898</v>
      </c>
      <c r="P25" s="38">
        <f t="shared" si="14"/>
        <v>76.689258107578809</v>
      </c>
      <c r="Q25" s="38">
        <f t="shared" si="15"/>
        <v>90.789042641977218</v>
      </c>
      <c r="R25" s="38">
        <f t="shared" si="16"/>
        <v>90.781797016374924</v>
      </c>
      <c r="S25" s="38">
        <f t="shared" si="17"/>
        <v>90.718977175580022</v>
      </c>
      <c r="T25" s="38">
        <f t="shared" si="18"/>
        <v>90.154947279118176</v>
      </c>
      <c r="U25" s="38">
        <f t="shared" si="19"/>
        <v>84.8859548553081</v>
      </c>
      <c r="V25" s="38">
        <f t="shared" si="20"/>
        <v>94.939964640717008</v>
      </c>
      <c r="W25" s="38">
        <f t="shared" si="21"/>
        <v>94.932719014913346</v>
      </c>
      <c r="X25" s="38">
        <f t="shared" si="22"/>
        <v>94.869899136299196</v>
      </c>
      <c r="Y25" s="38">
        <f t="shared" si="23"/>
        <v>94.30586188535149</v>
      </c>
      <c r="Z25" s="38">
        <f t="shared" si="24"/>
        <v>89.035381172558587</v>
      </c>
    </row>
    <row r="26" spans="1:26" x14ac:dyDescent="0.35">
      <c r="A26" s="7">
        <v>10</v>
      </c>
      <c r="B26" s="38">
        <f t="shared" si="0"/>
        <v>65.404958251530928</v>
      </c>
      <c r="C26" s="38">
        <f t="shared" si="1"/>
        <v>65.396071965023239</v>
      </c>
      <c r="D26" s="38">
        <f t="shared" si="2"/>
        <v>65.320690126676979</v>
      </c>
      <c r="E26" s="38">
        <f t="shared" si="3"/>
        <v>64.667425255726243</v>
      </c>
      <c r="F26" s="38">
        <f t="shared" si="4"/>
        <v>59.046911671560103</v>
      </c>
      <c r="G26" s="38">
        <f t="shared" si="5"/>
        <v>80.921634671447748</v>
      </c>
      <c r="H26" s="38">
        <f t="shared" si="6"/>
        <v>80.912748134093434</v>
      </c>
      <c r="I26" s="38">
        <f t="shared" si="7"/>
        <v>80.83734152737253</v>
      </c>
      <c r="J26" s="38">
        <f t="shared" si="8"/>
        <v>80.181940192602667</v>
      </c>
      <c r="K26" s="38">
        <f t="shared" si="9"/>
        <v>74.417375616144355</v>
      </c>
      <c r="L26" s="38">
        <f t="shared" si="10"/>
        <v>93.072044561056458</v>
      </c>
      <c r="M26" s="38">
        <f t="shared" si="11"/>
        <v>93.063157989380827</v>
      </c>
      <c r="N26" s="38">
        <f t="shared" si="12"/>
        <v>92.987747188705896</v>
      </c>
      <c r="O26" s="38">
        <f t="shared" si="13"/>
        <v>92.331872646077798</v>
      </c>
      <c r="P26" s="38">
        <f t="shared" si="14"/>
        <v>86.521604756776128</v>
      </c>
      <c r="Q26" s="38">
        <f t="shared" si="15"/>
        <v>101.3324693131882</v>
      </c>
      <c r="R26" s="38">
        <f t="shared" si="16"/>
        <v>101.32358273848381</v>
      </c>
      <c r="S26" s="38">
        <f t="shared" si="17"/>
        <v>101.24817148247416</v>
      </c>
      <c r="T26" s="38">
        <f t="shared" si="18"/>
        <v>100.59223026212251</v>
      </c>
      <c r="U26" s="38">
        <f t="shared" si="19"/>
        <v>94.772820356208911</v>
      </c>
      <c r="V26" s="38">
        <f t="shared" si="20"/>
        <v>105.48871608651895</v>
      </c>
      <c r="W26" s="38">
        <f t="shared" si="21"/>
        <v>105.47982951168521</v>
      </c>
      <c r="X26" s="38">
        <f t="shared" si="22"/>
        <v>105.40441823189788</v>
      </c>
      <c r="Y26" s="38">
        <f t="shared" si="23"/>
        <v>104.74847253108385</v>
      </c>
      <c r="Z26" s="38">
        <f t="shared" si="24"/>
        <v>98.928201302842922</v>
      </c>
    </row>
    <row r="27" spans="1:26" x14ac:dyDescent="0.35">
      <c r="A27" s="7">
        <v>11</v>
      </c>
      <c r="B27" s="38">
        <f t="shared" si="0"/>
        <v>75.403528730449423</v>
      </c>
      <c r="C27" s="38">
        <f t="shared" si="1"/>
        <v>75.392779657775705</v>
      </c>
      <c r="D27" s="38">
        <f t="shared" si="2"/>
        <v>75.303500390105896</v>
      </c>
      <c r="E27" s="38">
        <f t="shared" si="3"/>
        <v>74.552275004708875</v>
      </c>
      <c r="F27" s="38">
        <f t="shared" si="4"/>
        <v>68.3324910029054</v>
      </c>
      <c r="G27" s="38">
        <f t="shared" si="5"/>
        <v>91.307687851829982</v>
      </c>
      <c r="H27" s="38">
        <f t="shared" si="6"/>
        <v>91.296938600483571</v>
      </c>
      <c r="I27" s="38">
        <f t="shared" si="7"/>
        <v>91.207641606019777</v>
      </c>
      <c r="J27" s="38">
        <f t="shared" si="8"/>
        <v>90.454872490146002</v>
      </c>
      <c r="K27" s="38">
        <f t="shared" si="9"/>
        <v>84.128772889290815</v>
      </c>
      <c r="L27" s="38">
        <f t="shared" si="10"/>
        <v>103.59005105423125</v>
      </c>
      <c r="M27" s="38">
        <f t="shared" si="11"/>
        <v>103.57930177939907</v>
      </c>
      <c r="N27" s="38">
        <f t="shared" si="12"/>
        <v>103.49000192701732</v>
      </c>
      <c r="O27" s="38">
        <f t="shared" si="13"/>
        <v>102.73691173569884</v>
      </c>
      <c r="P27" s="38">
        <f t="shared" si="14"/>
        <v>96.379869301832727</v>
      </c>
      <c r="Q27" s="38">
        <f t="shared" si="15"/>
        <v>111.87842739624665</v>
      </c>
      <c r="R27" s="38">
        <f t="shared" si="16"/>
        <v>111.86767811942138</v>
      </c>
      <c r="S27" s="38">
        <f t="shared" si="17"/>
        <v>111.77837797122744</v>
      </c>
      <c r="T27" s="38">
        <f t="shared" si="18"/>
        <v>111.02524522538981</v>
      </c>
      <c r="U27" s="38">
        <f t="shared" si="19"/>
        <v>104.66251664791733</v>
      </c>
      <c r="V27" s="38">
        <f t="shared" si="20"/>
        <v>116.0374283911441</v>
      </c>
      <c r="W27" s="38">
        <f t="shared" si="21"/>
        <v>116.02667911423691</v>
      </c>
      <c r="X27" s="38">
        <f t="shared" si="22"/>
        <v>115.93737895129584</v>
      </c>
      <c r="Y27" s="38">
        <f t="shared" si="23"/>
        <v>115.18424351056355</v>
      </c>
      <c r="Z27" s="38">
        <f t="shared" si="24"/>
        <v>108.82102143312726</v>
      </c>
    </row>
    <row r="28" spans="1:26" x14ac:dyDescent="0.35">
      <c r="A28" s="7">
        <v>12</v>
      </c>
      <c r="B28" s="38">
        <f t="shared" si="0"/>
        <v>85.59074556393513</v>
      </c>
      <c r="C28" s="38">
        <f t="shared" si="1"/>
        <v>85.577896311396245</v>
      </c>
      <c r="D28" s="38">
        <f t="shared" si="2"/>
        <v>85.473383514287633</v>
      </c>
      <c r="E28" s="38">
        <f t="shared" si="3"/>
        <v>84.619257342904234</v>
      </c>
      <c r="F28" s="38">
        <f t="shared" si="4"/>
        <v>77.820501323271287</v>
      </c>
      <c r="G28" s="38">
        <f t="shared" si="5"/>
        <v>101.7577182235996</v>
      </c>
      <c r="H28" s="38">
        <f t="shared" si="6"/>
        <v>101.74486884583989</v>
      </c>
      <c r="I28" s="38">
        <f t="shared" si="7"/>
        <v>101.64034358798648</v>
      </c>
      <c r="J28" s="38">
        <f t="shared" si="8"/>
        <v>100.78512519413809</v>
      </c>
      <c r="K28" s="38">
        <f t="shared" si="9"/>
        <v>93.909989876894997</v>
      </c>
      <c r="L28" s="38">
        <f t="shared" si="10"/>
        <v>114.12153753902297</v>
      </c>
      <c r="M28" s="38">
        <f t="shared" si="11"/>
        <v>114.10868814542641</v>
      </c>
      <c r="N28" s="38">
        <f t="shared" si="12"/>
        <v>114.00416097059647</v>
      </c>
      <c r="O28" s="38">
        <f t="shared" si="13"/>
        <v>113.14872851045298</v>
      </c>
      <c r="P28" s="38">
        <f t="shared" si="14"/>
        <v>106.25307628809897</v>
      </c>
      <c r="Q28" s="38">
        <f t="shared" si="15"/>
        <v>122.42567191704428</v>
      </c>
      <c r="R28" s="38">
        <f t="shared" si="16"/>
        <v>122.41282252215341</v>
      </c>
      <c r="S28" s="38">
        <f t="shared" si="17"/>
        <v>122.30829515775206</v>
      </c>
      <c r="T28" s="38">
        <f t="shared" si="18"/>
        <v>121.45283591863389</v>
      </c>
      <c r="U28" s="38">
        <f t="shared" si="19"/>
        <v>114.55369799149976</v>
      </c>
      <c r="V28" s="38">
        <f t="shared" si="20"/>
        <v>126.5860975236899</v>
      </c>
      <c r="W28" s="38">
        <f t="shared" si="21"/>
        <v>126.57324812874775</v>
      </c>
      <c r="X28" s="38">
        <f t="shared" si="22"/>
        <v>126.4687207553055</v>
      </c>
      <c r="Y28" s="38">
        <f t="shared" si="23"/>
        <v>125.61325991262559</v>
      </c>
      <c r="Z28" s="38">
        <f t="shared" si="24"/>
        <v>118.71384156341159</v>
      </c>
    </row>
    <row r="29" spans="1:26" x14ac:dyDescent="0.35">
      <c r="A29" s="7">
        <v>13</v>
      </c>
      <c r="B29" s="38">
        <f t="shared" si="0"/>
        <v>95.905783598314642</v>
      </c>
      <c r="C29" s="38">
        <f t="shared" si="1"/>
        <v>95.890580917733971</v>
      </c>
      <c r="D29" s="38">
        <f t="shared" si="2"/>
        <v>95.769459326887912</v>
      </c>
      <c r="E29" s="38">
        <f t="shared" si="3"/>
        <v>94.807597063302779</v>
      </c>
      <c r="F29" s="38">
        <f t="shared" si="4"/>
        <v>87.447900123571628</v>
      </c>
      <c r="G29" s="38">
        <f t="shared" si="5"/>
        <v>112.24720352389214</v>
      </c>
      <c r="H29" s="38">
        <f t="shared" si="6"/>
        <v>112.23200075679965</v>
      </c>
      <c r="I29" s="38">
        <f t="shared" si="7"/>
        <v>112.11087054489012</v>
      </c>
      <c r="J29" s="38">
        <f t="shared" si="8"/>
        <v>111.14824961350237</v>
      </c>
      <c r="K29" s="38">
        <f t="shared" si="9"/>
        <v>103.73493829190311</v>
      </c>
      <c r="L29" s="38">
        <f t="shared" si="10"/>
        <v>124.6605990763554</v>
      </c>
      <c r="M29" s="38">
        <f t="shared" si="11"/>
        <v>124.64539629872095</v>
      </c>
      <c r="N29" s="38">
        <f t="shared" si="12"/>
        <v>124.52426481867204</v>
      </c>
      <c r="O29" s="38">
        <f t="shared" si="13"/>
        <v>123.5615033272291</v>
      </c>
      <c r="P29" s="38">
        <f t="shared" si="14"/>
        <v>116.13482816308719</v>
      </c>
      <c r="Q29" s="38">
        <f t="shared" si="15"/>
        <v>132.97355675404947</v>
      </c>
      <c r="R29" s="38">
        <f t="shared" si="16"/>
        <v>132.95835397558415</v>
      </c>
      <c r="S29" s="38">
        <f t="shared" si="17"/>
        <v>132.83722237548454</v>
      </c>
      <c r="T29" s="38">
        <f t="shared" si="18"/>
        <v>131.87444423628008</v>
      </c>
      <c r="U29" s="38">
        <f t="shared" si="19"/>
        <v>124.44565840327144</v>
      </c>
      <c r="V29" s="38">
        <f t="shared" si="20"/>
        <v>137.13471923628182</v>
      </c>
      <c r="W29" s="38">
        <f t="shared" si="21"/>
        <v>137.11951645778473</v>
      </c>
      <c r="X29" s="38">
        <f t="shared" si="22"/>
        <v>136.99838485219772</v>
      </c>
      <c r="Y29" s="38">
        <f t="shared" si="23"/>
        <v>136.03560576755777</v>
      </c>
      <c r="Z29" s="38">
        <f t="shared" si="24"/>
        <v>128.60666169369594</v>
      </c>
    </row>
    <row r="30" spans="1:26" x14ac:dyDescent="0.35">
      <c r="A30" s="7">
        <v>14</v>
      </c>
      <c r="B30" s="38">
        <f t="shared" si="0"/>
        <v>106.30558376593149</v>
      </c>
      <c r="C30" s="38">
        <f t="shared" si="1"/>
        <v>106.28775839423305</v>
      </c>
      <c r="D30" s="38">
        <f t="shared" si="2"/>
        <v>106.14861572078709</v>
      </c>
      <c r="E30" s="38">
        <f t="shared" si="3"/>
        <v>105.07428594344969</v>
      </c>
      <c r="F30" s="38">
        <f t="shared" si="4"/>
        <v>97.169212683627549</v>
      </c>
      <c r="G30" s="38">
        <f t="shared" si="5"/>
        <v>122.76066987956906</v>
      </c>
      <c r="H30" s="38">
        <f t="shared" si="6"/>
        <v>122.74284444886203</v>
      </c>
      <c r="I30" s="38">
        <f t="shared" si="7"/>
        <v>122.60369589464932</v>
      </c>
      <c r="J30" s="38">
        <f t="shared" si="8"/>
        <v>121.52884764822566</v>
      </c>
      <c r="K30" s="38">
        <f t="shared" si="9"/>
        <v>113.58689069019789</v>
      </c>
      <c r="L30" s="38">
        <f t="shared" si="10"/>
        <v>135.20387608206457</v>
      </c>
      <c r="M30" s="38">
        <f t="shared" si="11"/>
        <v>135.18605064442039</v>
      </c>
      <c r="N30" s="38">
        <f t="shared" si="12"/>
        <v>135.04690126153503</v>
      </c>
      <c r="O30" s="38">
        <f t="shared" si="13"/>
        <v>133.97196195112338</v>
      </c>
      <c r="P30" s="38">
        <f t="shared" si="14"/>
        <v>126.02143310788453</v>
      </c>
      <c r="Q30" s="38">
        <f t="shared" si="15"/>
        <v>143.52174543457755</v>
      </c>
      <c r="R30" s="38">
        <f t="shared" si="16"/>
        <v>143.50391999640547</v>
      </c>
      <c r="S30" s="38">
        <f t="shared" si="17"/>
        <v>143.36477053828767</v>
      </c>
      <c r="T30" s="38">
        <f t="shared" si="18"/>
        <v>142.28982098795268</v>
      </c>
      <c r="U30" s="38">
        <f t="shared" si="19"/>
        <v>134.33802751944873</v>
      </c>
      <c r="V30" s="38">
        <f t="shared" si="20"/>
        <v>147.68328906320369</v>
      </c>
      <c r="W30" s="38">
        <f t="shared" si="21"/>
        <v>147.66546362501208</v>
      </c>
      <c r="X30" s="38">
        <f t="shared" si="22"/>
        <v>147.52631416359273</v>
      </c>
      <c r="Y30" s="38">
        <f t="shared" si="23"/>
        <v>146.45136406026938</v>
      </c>
      <c r="Z30" s="38">
        <f t="shared" si="24"/>
        <v>138.49948182398032</v>
      </c>
    </row>
    <row r="31" spans="1:26" x14ac:dyDescent="0.35">
      <c r="A31" s="7">
        <v>15</v>
      </c>
      <c r="B31" s="38">
        <f t="shared" si="0"/>
        <v>116.7605570952993</v>
      </c>
      <c r="C31" s="38">
        <f t="shared" si="1"/>
        <v>116.73982361884791</v>
      </c>
      <c r="D31" s="38">
        <f t="shared" si="2"/>
        <v>116.58121265569643</v>
      </c>
      <c r="E31" s="38">
        <f t="shared" si="3"/>
        <v>115.38979018550307</v>
      </c>
      <c r="F31" s="38">
        <f t="shared" si="4"/>
        <v>106.95263054518468</v>
      </c>
      <c r="G31" s="38">
        <f t="shared" si="5"/>
        <v>133.28852622013108</v>
      </c>
      <c r="H31" s="38">
        <f t="shared" si="6"/>
        <v>133.26779270389252</v>
      </c>
      <c r="I31" s="38">
        <f t="shared" si="7"/>
        <v>133.10917777988232</v>
      </c>
      <c r="J31" s="38">
        <f t="shared" si="8"/>
        <v>131.91740609191635</v>
      </c>
      <c r="K31" s="38">
        <f t="shared" si="9"/>
        <v>123.45531667631504</v>
      </c>
      <c r="L31" s="38">
        <f t="shared" si="10"/>
        <v>145.74947171957234</v>
      </c>
      <c r="M31" s="38">
        <f t="shared" si="11"/>
        <v>145.72873819881568</v>
      </c>
      <c r="N31" s="38">
        <f t="shared" si="12"/>
        <v>145.57012273922072</v>
      </c>
      <c r="O31" s="38">
        <f t="shared" si="13"/>
        <v>144.37829275241702</v>
      </c>
      <c r="P31" s="38">
        <f t="shared" si="14"/>
        <v>135.91077830103404</v>
      </c>
      <c r="Q31" s="38">
        <f t="shared" si="15"/>
        <v>154.07006154500141</v>
      </c>
      <c r="R31" s="38">
        <f t="shared" si="16"/>
        <v>154.04932802391241</v>
      </c>
      <c r="S31" s="38">
        <f t="shared" si="17"/>
        <v>153.8907125176089</v>
      </c>
      <c r="T31" s="38">
        <f t="shared" si="18"/>
        <v>152.69887629117147</v>
      </c>
      <c r="U31" s="38">
        <f t="shared" si="19"/>
        <v>144.23061104470275</v>
      </c>
      <c r="V31" s="38">
        <f t="shared" si="20"/>
        <v>158.23180232030481</v>
      </c>
      <c r="W31" s="38">
        <f t="shared" si="21"/>
        <v>158.2110687992039</v>
      </c>
      <c r="X31" s="38">
        <f t="shared" si="22"/>
        <v>158.05245329092929</v>
      </c>
      <c r="Y31" s="38">
        <f t="shared" si="23"/>
        <v>156.86061674329645</v>
      </c>
      <c r="Z31" s="38">
        <f t="shared" si="24"/>
        <v>148.39230195426467</v>
      </c>
    </row>
    <row r="32" spans="1:26" x14ac:dyDescent="0.35">
      <c r="A32" s="7">
        <v>16</v>
      </c>
      <c r="B32" s="38">
        <f t="shared" si="0"/>
        <v>127.25086427412438</v>
      </c>
      <c r="C32" s="38">
        <f t="shared" si="1"/>
        <v>127.22692101670425</v>
      </c>
      <c r="D32" s="38">
        <f t="shared" si="2"/>
        <v>127.04736169157725</v>
      </c>
      <c r="E32" s="38">
        <f t="shared" si="3"/>
        <v>125.73433101982431</v>
      </c>
      <c r="F32" s="38">
        <f t="shared" si="4"/>
        <v>116.77646069809965</v>
      </c>
      <c r="G32" s="38">
        <f t="shared" si="5"/>
        <v>143.82491535284922</v>
      </c>
      <c r="H32" s="38">
        <f t="shared" si="6"/>
        <v>143.80097206888186</v>
      </c>
      <c r="I32" s="38">
        <f t="shared" si="7"/>
        <v>143.62141010648372</v>
      </c>
      <c r="J32" s="38">
        <f t="shared" si="8"/>
        <v>142.30814725700279</v>
      </c>
      <c r="K32" s="38">
        <f t="shared" si="9"/>
        <v>133.33368751292667</v>
      </c>
      <c r="L32" s="38">
        <f t="shared" si="10"/>
        <v>156.29632130910736</v>
      </c>
      <c r="M32" s="38">
        <f t="shared" si="11"/>
        <v>156.27237802222476</v>
      </c>
      <c r="N32" s="38">
        <f t="shared" si="12"/>
        <v>156.09281571707899</v>
      </c>
      <c r="O32" s="38">
        <f t="shared" si="13"/>
        <v>154.77951594007683</v>
      </c>
      <c r="P32" s="38">
        <f t="shared" si="14"/>
        <v>145.8016629755119</v>
      </c>
      <c r="Q32" s="38">
        <f t="shared" si="15"/>
        <v>164.61841135592002</v>
      </c>
      <c r="R32" s="38">
        <f t="shared" si="16"/>
        <v>164.59446806882994</v>
      </c>
      <c r="S32" s="38">
        <f t="shared" si="17"/>
        <v>164.41490573492641</v>
      </c>
      <c r="T32" s="38">
        <f t="shared" si="18"/>
        <v>163.10160218748348</v>
      </c>
      <c r="U32" s="38">
        <f t="shared" si="19"/>
        <v>154.12330705039878</v>
      </c>
      <c r="V32" s="38">
        <f t="shared" si="20"/>
        <v>168.78025410467245</v>
      </c>
      <c r="W32" s="38">
        <f t="shared" si="21"/>
        <v>168.75631081757516</v>
      </c>
      <c r="X32" s="38">
        <f t="shared" si="22"/>
        <v>168.57674848250286</v>
      </c>
      <c r="Y32" s="38">
        <f t="shared" si="23"/>
        <v>167.26344474964483</v>
      </c>
      <c r="Z32" s="38">
        <f t="shared" si="24"/>
        <v>158.28512208454902</v>
      </c>
    </row>
    <row r="33" spans="1:26" x14ac:dyDescent="0.35">
      <c r="A33" s="7">
        <v>17</v>
      </c>
      <c r="B33" s="38">
        <f t="shared" si="0"/>
        <v>137.76347454686083</v>
      </c>
      <c r="C33" s="38">
        <f t="shared" si="1"/>
        <v>137.73600348029032</v>
      </c>
      <c r="D33" s="38">
        <f t="shared" si="2"/>
        <v>137.53398484627346</v>
      </c>
      <c r="E33" s="38">
        <f t="shared" si="3"/>
        <v>136.09494334812109</v>
      </c>
      <c r="F33" s="38">
        <f t="shared" si="4"/>
        <v>126.62621912565679</v>
      </c>
      <c r="G33" s="38">
        <f t="shared" si="5"/>
        <v>154.36630451344635</v>
      </c>
      <c r="H33" s="38">
        <f t="shared" si="6"/>
        <v>154.33883342933157</v>
      </c>
      <c r="I33" s="38">
        <f t="shared" si="7"/>
        <v>154.13681305759184</v>
      </c>
      <c r="J33" s="38">
        <f t="shared" si="8"/>
        <v>152.6976189973995</v>
      </c>
      <c r="K33" s="38">
        <f t="shared" si="9"/>
        <v>143.21800734399591</v>
      </c>
      <c r="L33" s="38">
        <f t="shared" si="10"/>
        <v>166.84382963108243</v>
      </c>
      <c r="M33" s="38">
        <f t="shared" si="11"/>
        <v>166.81635854510256</v>
      </c>
      <c r="N33" s="38">
        <f t="shared" si="12"/>
        <v>166.6143379559816</v>
      </c>
      <c r="O33" s="38">
        <f t="shared" si="13"/>
        <v>165.17512072821245</v>
      </c>
      <c r="P33" s="38">
        <f t="shared" si="14"/>
        <v>155.69340874468296</v>
      </c>
      <c r="Q33" s="38">
        <f t="shared" si="15"/>
        <v>175.1667438003866</v>
      </c>
      <c r="R33" s="38">
        <f t="shared" si="16"/>
        <v>175.13927271427812</v>
      </c>
      <c r="S33" s="38">
        <f t="shared" si="17"/>
        <v>174.93725210758467</v>
      </c>
      <c r="T33" s="38">
        <f t="shared" si="18"/>
        <v>173.4980326184421</v>
      </c>
      <c r="U33" s="38">
        <f t="shared" si="19"/>
        <v>164.01606206409031</v>
      </c>
      <c r="V33" s="38">
        <f t="shared" si="20"/>
        <v>179.32863929455908</v>
      </c>
      <c r="W33" s="38">
        <f t="shared" si="21"/>
        <v>179.30116820844628</v>
      </c>
      <c r="X33" s="38">
        <f t="shared" si="22"/>
        <v>179.09914760106412</v>
      </c>
      <c r="Y33" s="38">
        <f t="shared" si="23"/>
        <v>177.65992800547374</v>
      </c>
      <c r="Z33" s="38">
        <f t="shared" si="24"/>
        <v>168.17794221483342</v>
      </c>
    </row>
    <row r="34" spans="1:26" x14ac:dyDescent="0.35">
      <c r="A34" s="7">
        <v>18</v>
      </c>
      <c r="B34" s="38">
        <f t="shared" si="0"/>
        <v>148.2899777890631</v>
      </c>
      <c r="C34" s="38">
        <f t="shared" si="1"/>
        <v>148.25864446552396</v>
      </c>
      <c r="D34" s="38">
        <f t="shared" si="2"/>
        <v>148.03262662615893</v>
      </c>
      <c r="E34" s="38">
        <f t="shared" si="3"/>
        <v>146.46328697934874</v>
      </c>
      <c r="F34" s="38">
        <f t="shared" si="4"/>
        <v>136.4924078122709</v>
      </c>
      <c r="G34" s="38">
        <f t="shared" si="5"/>
        <v>164.91058499003535</v>
      </c>
      <c r="H34" s="38">
        <f t="shared" si="6"/>
        <v>164.8792516550032</v>
      </c>
      <c r="I34" s="38">
        <f t="shared" si="7"/>
        <v>164.65323268152949</v>
      </c>
      <c r="J34" s="38">
        <f t="shared" si="8"/>
        <v>163.08379384956845</v>
      </c>
      <c r="K34" s="38">
        <f t="shared" si="9"/>
        <v>153.10585741615361</v>
      </c>
      <c r="L34" s="38">
        <f t="shared" si="10"/>
        <v>177.39166442987172</v>
      </c>
      <c r="M34" s="38">
        <f t="shared" si="11"/>
        <v>177.36033109365565</v>
      </c>
      <c r="N34" s="38">
        <f t="shared" si="12"/>
        <v>177.13431198343608</v>
      </c>
      <c r="O34" s="38">
        <f t="shared" si="13"/>
        <v>175.56485874205973</v>
      </c>
      <c r="P34" s="38">
        <f t="shared" si="14"/>
        <v>165.58563430191924</v>
      </c>
      <c r="Q34" s="38">
        <f t="shared" si="15"/>
        <v>185.71502977299187</v>
      </c>
      <c r="R34" s="38">
        <f t="shared" si="16"/>
        <v>185.68369643669664</v>
      </c>
      <c r="S34" s="38">
        <f t="shared" si="17"/>
        <v>185.45767731581279</v>
      </c>
      <c r="T34" s="38">
        <f t="shared" si="18"/>
        <v>183.88822272727785</v>
      </c>
      <c r="U34" s="38">
        <f t="shared" si="19"/>
        <v>173.90884803377264</v>
      </c>
      <c r="V34" s="38">
        <f t="shared" si="20"/>
        <v>189.87695254955366</v>
      </c>
      <c r="W34" s="38">
        <f t="shared" si="21"/>
        <v>189.84561921325587</v>
      </c>
      <c r="X34" s="38">
        <f t="shared" si="22"/>
        <v>189.61960009196846</v>
      </c>
      <c r="Y34" s="38">
        <f t="shared" si="23"/>
        <v>188.05014544262136</v>
      </c>
      <c r="Z34" s="38">
        <f t="shared" si="24"/>
        <v>178.0707623451178</v>
      </c>
    </row>
    <row r="35" spans="1:26" x14ac:dyDescent="0.35">
      <c r="A35" s="7">
        <v>19</v>
      </c>
      <c r="B35" s="38">
        <f t="shared" si="0"/>
        <v>158.825027042633</v>
      </c>
      <c r="C35" s="38">
        <f t="shared" si="1"/>
        <v>158.78948054784621</v>
      </c>
      <c r="D35" s="38">
        <f t="shared" si="2"/>
        <v>158.53789651751751</v>
      </c>
      <c r="E35" s="38">
        <f t="shared" si="3"/>
        <v>156.83408816071614</v>
      </c>
      <c r="F35" s="38">
        <f t="shared" si="4"/>
        <v>146.36889417605801</v>
      </c>
      <c r="G35" s="38">
        <f t="shared" si="5"/>
        <v>175.45650886154181</v>
      </c>
      <c r="H35" s="38">
        <f t="shared" si="6"/>
        <v>175.42096235928707</v>
      </c>
      <c r="I35" s="38">
        <f t="shared" si="7"/>
        <v>175.16937759526456</v>
      </c>
      <c r="J35" s="38">
        <f t="shared" si="8"/>
        <v>173.46550537834827</v>
      </c>
      <c r="K35" s="38">
        <f t="shared" si="9"/>
        <v>162.99578756452453</v>
      </c>
      <c r="L35" s="38">
        <f t="shared" si="10"/>
        <v>187.93963983240201</v>
      </c>
      <c r="M35" s="38">
        <f t="shared" si="11"/>
        <v>187.90409332940106</v>
      </c>
      <c r="N35" s="38">
        <f t="shared" si="12"/>
        <v>187.65250848000022</v>
      </c>
      <c r="O35" s="38">
        <f t="shared" si="13"/>
        <v>185.94862737132948</v>
      </c>
      <c r="P35" s="38">
        <f t="shared" si="14"/>
        <v>175.4781262754677</v>
      </c>
      <c r="Q35" s="38">
        <f t="shared" si="15"/>
        <v>196.26325142270179</v>
      </c>
      <c r="R35" s="38">
        <f t="shared" si="16"/>
        <v>196.22770491965247</v>
      </c>
      <c r="S35" s="38">
        <f t="shared" si="17"/>
        <v>195.97612006382016</v>
      </c>
      <c r="T35" s="38">
        <f t="shared" si="18"/>
        <v>194.27223815751375</v>
      </c>
      <c r="U35" s="38">
        <f t="shared" si="19"/>
        <v>183.80165024317569</v>
      </c>
      <c r="V35" s="38">
        <f t="shared" si="20"/>
        <v>200.42518831098678</v>
      </c>
      <c r="W35" s="38">
        <f t="shared" si="21"/>
        <v>200.38964180793593</v>
      </c>
      <c r="X35" s="38">
        <f t="shared" si="22"/>
        <v>200.13805695186841</v>
      </c>
      <c r="Y35" s="38">
        <f t="shared" si="23"/>
        <v>198.43417501097477</v>
      </c>
      <c r="Z35" s="38">
        <f t="shared" si="24"/>
        <v>187.96358247540221</v>
      </c>
    </row>
    <row r="36" spans="1:26" x14ac:dyDescent="0.35">
      <c r="A36" s="7">
        <v>20</v>
      </c>
      <c r="B36" s="38">
        <f t="shared" si="0"/>
        <v>169.36526661704821</v>
      </c>
      <c r="C36" s="38">
        <f t="shared" si="1"/>
        <v>169.32513954346641</v>
      </c>
      <c r="D36" s="38">
        <f t="shared" si="2"/>
        <v>169.04639704549709</v>
      </c>
      <c r="E36" s="38">
        <f t="shared" si="3"/>
        <v>167.20406672724505</v>
      </c>
      <c r="F36" s="38">
        <f t="shared" si="4"/>
        <v>156.25177162472514</v>
      </c>
      <c r="G36" s="38">
        <f t="shared" si="5"/>
        <v>186.00334258480382</v>
      </c>
      <c r="H36" s="38">
        <f t="shared" si="6"/>
        <v>185.96321550640585</v>
      </c>
      <c r="I36" s="38">
        <f t="shared" si="7"/>
        <v>185.68447253761437</v>
      </c>
      <c r="J36" s="38">
        <f t="shared" si="8"/>
        <v>183.84210146711473</v>
      </c>
      <c r="K36" s="38">
        <f t="shared" si="9"/>
        <v>172.88693558737532</v>
      </c>
      <c r="L36" s="38">
        <f t="shared" si="10"/>
        <v>198.4876509925688</v>
      </c>
      <c r="M36" s="38">
        <f t="shared" si="11"/>
        <v>198.44752391370363</v>
      </c>
      <c r="N36" s="38">
        <f t="shared" si="12"/>
        <v>198.16878089197235</v>
      </c>
      <c r="O36" s="38">
        <f t="shared" si="13"/>
        <v>196.32640437395142</v>
      </c>
      <c r="P36" s="38">
        <f t="shared" si="14"/>
        <v>185.37076573305742</v>
      </c>
      <c r="Q36" s="38">
        <f t="shared" si="15"/>
        <v>206.81139661503371</v>
      </c>
      <c r="R36" s="38">
        <f t="shared" si="16"/>
        <v>206.7712695361391</v>
      </c>
      <c r="S36" s="38">
        <f t="shared" si="17"/>
        <v>206.49252651055141</v>
      </c>
      <c r="T36" s="38">
        <f t="shared" si="18"/>
        <v>204.65014952288985</v>
      </c>
      <c r="U36" s="38">
        <f t="shared" si="19"/>
        <v>193.69446097204533</v>
      </c>
      <c r="V36" s="38">
        <f t="shared" si="20"/>
        <v>210.97334080255956</v>
      </c>
      <c r="W36" s="38">
        <f t="shared" si="21"/>
        <v>210.9332137236641</v>
      </c>
      <c r="X36" s="38">
        <f t="shared" si="22"/>
        <v>210.6544706979399</v>
      </c>
      <c r="Y36" s="38">
        <f t="shared" si="23"/>
        <v>208.8120936906858</v>
      </c>
      <c r="Z36" s="38">
        <f t="shared" si="24"/>
        <v>197.85640260568661</v>
      </c>
    </row>
    <row r="37" spans="1:26" x14ac:dyDescent="0.35">
      <c r="A37" s="7">
        <v>21</v>
      </c>
      <c r="C37" s="38">
        <f t="shared" ref="C37:E40" si="25">1*($C$6+$C$7)+$B$7*H36+$B$9*C36+$B$6*I41+$B$8*D41</f>
        <v>179.86352233549843</v>
      </c>
      <c r="D37" s="38">
        <f t="shared" si="25"/>
        <v>179.55600554099874</v>
      </c>
      <c r="E37" s="38">
        <f t="shared" si="25"/>
        <v>177.571217103527</v>
      </c>
      <c r="F37" s="38">
        <f t="shared" si="4"/>
        <v>166.1385808488001</v>
      </c>
      <c r="H37" s="38">
        <f t="shared" ref="H37:J40" si="26">2*($C$6+$C$7)+$B$7*M36+$B$9*H36+$B$6*N41+$B$8*I41</f>
        <v>196.50556538036241</v>
      </c>
      <c r="I37" s="38">
        <f t="shared" si="26"/>
        <v>196.1980482859866</v>
      </c>
      <c r="J37" s="38">
        <f t="shared" si="26"/>
        <v>194.21323405417562</v>
      </c>
      <c r="K37" s="38">
        <f t="shared" si="9"/>
        <v>182.77879262828202</v>
      </c>
      <c r="M37" s="38">
        <f t="shared" ref="M37:O40" si="27">3*($C$6+$C$7)+$B$7*R36+$B$9*M36+$B$6*S41+$B$8*N41</f>
        <v>208.99054610812939</v>
      </c>
      <c r="N37" s="38">
        <f t="shared" si="27"/>
        <v>208.6830289811364</v>
      </c>
      <c r="O37" s="38">
        <f t="shared" si="27"/>
        <v>206.69821143390544</v>
      </c>
      <c r="P37" s="38">
        <f t="shared" si="14"/>
        <v>195.26348661186304</v>
      </c>
      <c r="R37" s="38">
        <f t="shared" ref="R37:T40" si="28">4*($C$6+$C$7)+$B$7*W36+$B$9*R36+$B$6*X41+$B$8*S41</f>
        <v>217.31436450397337</v>
      </c>
      <c r="S37" s="38">
        <f t="shared" si="28"/>
        <v>217.00684737468029</v>
      </c>
      <c r="T37" s="38">
        <f t="shared" si="28"/>
        <v>215.02202955233892</v>
      </c>
      <c r="U37" s="38">
        <f t="shared" si="19"/>
        <v>203.58727617028444</v>
      </c>
      <c r="W37" s="38">
        <f t="shared" ref="W37:Y40" si="29">5*($C$6+$C$7)+$B$7*W36+$B$9*W36+$B$6*X41+$B$8*X41</f>
        <v>221.47631246700627</v>
      </c>
      <c r="X37" s="38">
        <f t="shared" si="29"/>
        <v>221.16879533763429</v>
      </c>
      <c r="Y37" s="38">
        <f t="shared" si="29"/>
        <v>219.18397750423509</v>
      </c>
      <c r="Z37" s="38">
        <f t="shared" si="24"/>
        <v>207.74922273597102</v>
      </c>
    </row>
    <row r="38" spans="1:26" x14ac:dyDescent="0.35">
      <c r="A38" s="7">
        <v>22</v>
      </c>
      <c r="C38" s="38">
        <f t="shared" si="25"/>
        <v>190.40333212608954</v>
      </c>
      <c r="D38" s="38">
        <f t="shared" si="25"/>
        <v>190.06540333663253</v>
      </c>
      <c r="E38" s="38">
        <f t="shared" si="25"/>
        <v>187.93433690224884</v>
      </c>
      <c r="F38" s="38">
        <f t="shared" si="4"/>
        <v>176.02778977108719</v>
      </c>
      <c r="H38" s="38">
        <f t="shared" si="26"/>
        <v>207.04774475461707</v>
      </c>
      <c r="I38" s="38">
        <f t="shared" si="26"/>
        <v>206.70981577548881</v>
      </c>
      <c r="J38" s="38">
        <f t="shared" si="26"/>
        <v>204.57873313705625</v>
      </c>
      <c r="K38" s="38">
        <f t="shared" si="9"/>
        <v>192.67106033192289</v>
      </c>
      <c r="M38" s="38">
        <f t="shared" si="27"/>
        <v>219.53310760363453</v>
      </c>
      <c r="N38" s="38">
        <f t="shared" si="27"/>
        <v>219.19517860452882</v>
      </c>
      <c r="O38" s="38">
        <f t="shared" si="27"/>
        <v>217.0640939605488</v>
      </c>
      <c r="P38" s="38">
        <f t="shared" si="14"/>
        <v>205.15625232949375</v>
      </c>
      <c r="R38" s="38">
        <f t="shared" si="28"/>
        <v>227.85696542356214</v>
      </c>
      <c r="S38" s="38">
        <f t="shared" si="28"/>
        <v>227.51903642309125</v>
      </c>
      <c r="T38" s="38">
        <f t="shared" si="28"/>
        <v>225.38795161870985</v>
      </c>
      <c r="U38" s="38">
        <f t="shared" si="19"/>
        <v>213.48009371318474</v>
      </c>
      <c r="W38" s="38">
        <f t="shared" si="29"/>
        <v>232.01891533946375</v>
      </c>
      <c r="X38" s="38">
        <f t="shared" si="29"/>
        <v>231.68098633894743</v>
      </c>
      <c r="Y38" s="38">
        <f t="shared" si="29"/>
        <v>229.549901528346</v>
      </c>
      <c r="Z38" s="38">
        <f t="shared" si="24"/>
        <v>217.64204286625542</v>
      </c>
    </row>
    <row r="39" spans="1:26" x14ac:dyDescent="0.35">
      <c r="A39" s="7">
        <v>23</v>
      </c>
      <c r="C39" s="38">
        <f t="shared" si="25"/>
        <v>200.94377147365114</v>
      </c>
      <c r="D39" s="38">
        <f t="shared" si="25"/>
        <v>200.57377275060347</v>
      </c>
      <c r="E39" s="38">
        <f t="shared" si="25"/>
        <v>198.29272346678545</v>
      </c>
      <c r="F39" s="38">
        <f t="shared" si="4"/>
        <v>185.91845281748195</v>
      </c>
      <c r="H39" s="38">
        <f t="shared" si="26"/>
        <v>217.58959027976923</v>
      </c>
      <c r="I39" s="38">
        <f t="shared" si="26"/>
        <v>217.2195914375308</v>
      </c>
      <c r="J39" s="38">
        <f t="shared" si="26"/>
        <v>214.93853204506311</v>
      </c>
      <c r="K39" s="38">
        <f t="shared" si="9"/>
        <v>202.56356478806902</v>
      </c>
      <c r="M39" s="38">
        <f t="shared" si="27"/>
        <v>230.07516939663952</v>
      </c>
      <c r="N39" s="38">
        <f t="shared" si="27"/>
        <v>229.70517054223234</v>
      </c>
      <c r="O39" s="38">
        <f t="shared" si="27"/>
        <v>227.42410994338917</v>
      </c>
      <c r="P39" s="38">
        <f t="shared" si="14"/>
        <v>215.04904268450952</v>
      </c>
      <c r="R39" s="38">
        <f t="shared" si="28"/>
        <v>238.3990485304216</v>
      </c>
      <c r="S39" s="38">
        <f t="shared" si="28"/>
        <v>238.02904967520786</v>
      </c>
      <c r="T39" s="38">
        <f t="shared" si="28"/>
        <v>235.74798898324798</v>
      </c>
      <c r="U39" s="38">
        <f t="shared" si="19"/>
        <v>223.3729124861101</v>
      </c>
      <c r="W39" s="38">
        <f t="shared" si="29"/>
        <v>242.56099945643788</v>
      </c>
      <c r="X39" s="38">
        <f t="shared" si="29"/>
        <v>242.19100060119808</v>
      </c>
      <c r="Y39" s="38">
        <f t="shared" si="29"/>
        <v>239.90993990575024</v>
      </c>
      <c r="Z39" s="38">
        <f t="shared" si="24"/>
        <v>227.53486299653986</v>
      </c>
    </row>
    <row r="40" spans="1:26" x14ac:dyDescent="0.35">
      <c r="A40" s="7">
        <v>24</v>
      </c>
      <c r="C40" s="38">
        <f t="shared" si="25"/>
        <v>211.48435032596086</v>
      </c>
      <c r="D40" s="38">
        <f t="shared" si="25"/>
        <v>211.08060506895373</v>
      </c>
      <c r="E40" s="38">
        <f t="shared" si="25"/>
        <v>208.64598154255384</v>
      </c>
      <c r="F40" s="38">
        <f t="shared" si="4"/>
        <v>195.80999125770251</v>
      </c>
      <c r="H40" s="38">
        <f t="shared" si="26"/>
        <v>228.13099863657334</v>
      </c>
      <c r="I40" s="38">
        <f t="shared" si="26"/>
        <v>227.72725330511852</v>
      </c>
      <c r="J40" s="38">
        <f t="shared" si="26"/>
        <v>225.2926235132899</v>
      </c>
      <c r="K40" s="38">
        <f t="shared" si="9"/>
        <v>212.45620515861722</v>
      </c>
      <c r="M40" s="38">
        <f t="shared" si="27"/>
        <v>240.61669968199004</v>
      </c>
      <c r="N40" s="38">
        <f t="shared" si="27"/>
        <v>240.21295434316099</v>
      </c>
      <c r="O40" s="38">
        <f t="shared" si="27"/>
        <v>237.77832382945161</v>
      </c>
      <c r="P40" s="38">
        <f t="shared" si="14"/>
        <v>224.94184654920858</v>
      </c>
      <c r="R40" s="38">
        <f t="shared" si="28"/>
        <v>248.94059031713087</v>
      </c>
      <c r="S40" s="38">
        <f t="shared" si="28"/>
        <v>248.53684497782726</v>
      </c>
      <c r="T40" s="38">
        <f t="shared" si="28"/>
        <v>246.10221441027781</v>
      </c>
      <c r="U40" s="38">
        <f t="shared" si="19"/>
        <v>233.26573190431483</v>
      </c>
      <c r="W40" s="38">
        <f t="shared" si="29"/>
        <v>253.10254176562557</v>
      </c>
      <c r="X40" s="38">
        <f t="shared" si="29"/>
        <v>252.69879642630707</v>
      </c>
      <c r="Y40" s="38">
        <f t="shared" si="29"/>
        <v>250.26416585680724</v>
      </c>
      <c r="Z40" s="38">
        <f t="shared" si="24"/>
        <v>237.42768312682432</v>
      </c>
    </row>
    <row r="41" spans="1:26" x14ac:dyDescent="0.35">
      <c r="A41" s="7">
        <v>25</v>
      </c>
      <c r="D41" s="38">
        <f t="shared" ref="D41:E44" si="30">1*($C$6+$C$7)+$B$7*I40+$B$9*D40+$B$6*J45+$B$8*E45</f>
        <v>221.58558048272246</v>
      </c>
      <c r="E41" s="38">
        <f t="shared" si="30"/>
        <v>218.99390300514318</v>
      </c>
      <c r="F41" s="38">
        <f t="shared" si="4"/>
        <v>205.70205354819839</v>
      </c>
      <c r="I41" s="38">
        <f t="shared" ref="I41:J44" si="31">2*($C$6+$C$7)+$B$7*N40+$B$9*I40+$B$6*O45+$B$8*J45</f>
        <v>238.23271540214293</v>
      </c>
      <c r="J41" s="38">
        <f t="shared" si="31"/>
        <v>235.64103406452824</v>
      </c>
      <c r="K41" s="38">
        <f t="shared" si="9"/>
        <v>222.34892325318643</v>
      </c>
      <c r="N41" s="38">
        <f t="shared" ref="N41:O44" si="32">3*($C$6+$C$7)+$B$7*S40+$B$9*N40+$B$6*T45+$B$8*O45</f>
        <v>250.71848494128807</v>
      </c>
      <c r="O41" s="38">
        <f t="shared" si="32"/>
        <v>248.1268031737996</v>
      </c>
      <c r="P41" s="38">
        <f t="shared" si="14"/>
        <v>234.83465780793975</v>
      </c>
      <c r="S41" s="38">
        <f t="shared" ref="S41:T44" si="33">4*($C$6+$C$7)+$B$7*X40+$B$9*S40+$B$6*Y45+$B$8*T45</f>
        <v>259.04238177183328</v>
      </c>
      <c r="T41" s="38">
        <f t="shared" si="33"/>
        <v>256.45069997333025</v>
      </c>
      <c r="U41" s="38">
        <f t="shared" si="19"/>
        <v>243.15855166103751</v>
      </c>
      <c r="X41" s="38">
        <f t="shared" ref="X41:Y44" si="34">5*($C$6+$C$7)+$B$7*X40+$B$9*X40+$B$6*Y45+$B$8*Y45</f>
        <v>263.2043334905697</v>
      </c>
      <c r="Y41" s="38">
        <f t="shared" si="34"/>
        <v>260.61265169097896</v>
      </c>
      <c r="Z41" s="38">
        <f t="shared" si="24"/>
        <v>247.32050325710875</v>
      </c>
    </row>
    <row r="42" spans="1:26" x14ac:dyDescent="0.35">
      <c r="A42" s="7">
        <v>26</v>
      </c>
      <c r="D42" s="38">
        <f t="shared" si="30"/>
        <v>232.08849388442479</v>
      </c>
      <c r="E42" s="38">
        <f t="shared" si="30"/>
        <v>229.33639252368718</v>
      </c>
      <c r="F42" s="38">
        <f t="shared" si="4"/>
        <v>215.59442760354526</v>
      </c>
      <c r="I42" s="38">
        <f t="shared" si="31"/>
        <v>248.73591289846007</v>
      </c>
      <c r="J42" s="38">
        <f t="shared" si="31"/>
        <v>245.98380917294816</v>
      </c>
      <c r="K42" s="38">
        <f t="shared" si="9"/>
        <v>232.2416856373724</v>
      </c>
      <c r="N42" s="38">
        <f t="shared" si="32"/>
        <v>261.22172079545504</v>
      </c>
      <c r="O42" s="38">
        <f t="shared" si="32"/>
        <v>258.46961681511254</v>
      </c>
      <c r="P42" s="38">
        <f t="shared" si="14"/>
        <v>244.72747310655899</v>
      </c>
      <c r="S42" s="38">
        <f t="shared" si="33"/>
        <v>269.54562095838759</v>
      </c>
      <c r="T42" s="38">
        <f t="shared" si="33"/>
        <v>266.79351696024077</v>
      </c>
      <c r="U42" s="38">
        <f t="shared" si="19"/>
        <v>253.05137159534891</v>
      </c>
      <c r="X42" s="38">
        <f t="shared" si="34"/>
        <v>273.70757281691363</v>
      </c>
      <c r="Y42" s="38">
        <f t="shared" si="34"/>
        <v>270.95546881816171</v>
      </c>
      <c r="Z42" s="38">
        <f t="shared" si="24"/>
        <v>257.21332338739319</v>
      </c>
    </row>
    <row r="43" spans="1:26" x14ac:dyDescent="0.35">
      <c r="A43" s="7">
        <v>27</v>
      </c>
      <c r="D43" s="38">
        <f t="shared" si="30"/>
        <v>242.58920947255902</v>
      </c>
      <c r="E43" s="38">
        <f t="shared" si="30"/>
        <v>239.6734220868864</v>
      </c>
      <c r="F43" s="38">
        <f t="shared" si="4"/>
        <v>225.48698626781356</v>
      </c>
      <c r="I43" s="38">
        <f t="shared" si="31"/>
        <v>259.23679355309685</v>
      </c>
      <c r="J43" s="38">
        <f t="shared" si="31"/>
        <v>256.32100472629133</v>
      </c>
      <c r="K43" s="38">
        <f t="shared" si="9"/>
        <v>242.1344731767245</v>
      </c>
      <c r="N43" s="38">
        <f t="shared" si="32"/>
        <v>271.72262286420715</v>
      </c>
      <c r="O43" s="38">
        <f t="shared" si="32"/>
        <v>268.80683388697452</v>
      </c>
      <c r="P43" s="38">
        <f t="shared" si="14"/>
        <v>254.6202906089552</v>
      </c>
      <c r="S43" s="38">
        <f t="shared" si="33"/>
        <v>280.04652481680176</v>
      </c>
      <c r="T43" s="38">
        <f t="shared" si="33"/>
        <v>277.13073582938148</v>
      </c>
      <c r="U43" s="38">
        <f t="shared" si="19"/>
        <v>262.94419162282463</v>
      </c>
      <c r="X43" s="38">
        <f t="shared" si="34"/>
        <v>284.20847674763371</v>
      </c>
      <c r="Y43" s="38">
        <f t="shared" si="34"/>
        <v>281.29268775987759</v>
      </c>
      <c r="Z43" s="38">
        <f t="shared" si="24"/>
        <v>267.10614351767771</v>
      </c>
    </row>
    <row r="44" spans="1:26" x14ac:dyDescent="0.35">
      <c r="A44" s="7">
        <v>28</v>
      </c>
      <c r="D44" s="38">
        <f t="shared" si="30"/>
        <v>253.08763322827352</v>
      </c>
      <c r="E44" s="38">
        <f t="shared" si="30"/>
        <v>250.00500343937742</v>
      </c>
      <c r="F44" s="38">
        <f t="shared" si="4"/>
        <v>235.37965373775918</v>
      </c>
      <c r="I44" s="38">
        <f t="shared" si="31"/>
        <v>269.7353128043236</v>
      </c>
      <c r="J44" s="38">
        <f t="shared" si="31"/>
        <v>266.6526821414962</v>
      </c>
      <c r="K44" s="38">
        <f t="shared" si="9"/>
        <v>252.02727496030647</v>
      </c>
      <c r="N44" s="38">
        <f t="shared" si="32"/>
        <v>282.22115403693738</v>
      </c>
      <c r="O44" s="38">
        <f t="shared" si="32"/>
        <v>279.13852328566344</v>
      </c>
      <c r="P44" s="38">
        <f t="shared" si="14"/>
        <v>264.51310931175726</v>
      </c>
      <c r="S44" s="38">
        <f t="shared" si="33"/>
        <v>290.54505694936535</v>
      </c>
      <c r="T44" s="38">
        <f t="shared" si="33"/>
        <v>287.46242619227962</v>
      </c>
      <c r="U44" s="38">
        <f t="shared" si="19"/>
        <v>272.83701169917498</v>
      </c>
      <c r="X44" s="38">
        <f t="shared" si="34"/>
        <v>294.70700891759748</v>
      </c>
      <c r="Y44" s="38">
        <f t="shared" si="34"/>
        <v>291.6243781603257</v>
      </c>
      <c r="Z44" s="38">
        <f t="shared" si="24"/>
        <v>276.99896364796217</v>
      </c>
    </row>
    <row r="45" spans="1:26" x14ac:dyDescent="0.35">
      <c r="A45" s="7">
        <v>29</v>
      </c>
      <c r="E45" s="38">
        <f>1*($C$6+$C$7)+$B$7*J44+$B$9*E44+$B$6*K49+$B$8*F49</f>
        <v>260.33117151161554</v>
      </c>
      <c r="F45" s="38">
        <f t="shared" si="4"/>
        <v>245.2723850595053</v>
      </c>
      <c r="J45" s="38">
        <f>2*($C$6+$C$7)+$B$7*O44+$B$9*J44+$B$6*P49+$B$8*K49</f>
        <v>276.97890558615609</v>
      </c>
      <c r="K45" s="38">
        <f t="shared" si="9"/>
        <v>261.92008478717202</v>
      </c>
      <c r="O45" s="38">
        <f>3*($C$6+$C$7)+$B$7*T44+$B$9*O44+$B$6*U49+$B$8*P49</f>
        <v>289.4647533865728</v>
      </c>
      <c r="P45" s="38">
        <f t="shared" si="14"/>
        <v>274.40592866753491</v>
      </c>
      <c r="T45" s="38">
        <f>4*($C$6+$C$7)+$B$7*Y44+$B$9*T44+$B$6*Z49+$B$8*U49</f>
        <v>297.78865680982261</v>
      </c>
      <c r="U45" s="38">
        <f t="shared" si="19"/>
        <v>282.72983180116518</v>
      </c>
      <c r="Y45" s="38">
        <f>5*($C$6+$C$7)+$B$7*Y44+$B$9*Y44+$B$6*Z49+$B$8*Z49</f>
        <v>301.95060879729704</v>
      </c>
      <c r="Z45" s="38">
        <f t="shared" si="24"/>
        <v>286.89178377824669</v>
      </c>
    </row>
    <row r="46" spans="1:26" x14ac:dyDescent="0.35">
      <c r="A46" s="7">
        <v>30</v>
      </c>
      <c r="E46" s="38">
        <f>1*($C$6+$C$7)+$B$7*J45+$B$9*E45+$B$6*K50+$B$8*F50</f>
        <v>270.65197453308673</v>
      </c>
      <c r="F46" s="38">
        <f t="shared" si="4"/>
        <v>255.16515370205781</v>
      </c>
      <c r="J46" s="38">
        <f>2*($C$6+$C$7)+$B$7*O45+$B$9*J45+$B$6*P50+$B$8*K50</f>
        <v>287.29974040694236</v>
      </c>
      <c r="K46" s="38">
        <f t="shared" si="9"/>
        <v>271.81289914401839</v>
      </c>
      <c r="O46" s="38">
        <f>3*($C$6+$C$7)+$B$7*T45+$B$9*O45+$B$6*U50+$B$8*P50</f>
        <v>299.78559189568165</v>
      </c>
      <c r="P46" s="38">
        <f t="shared" si="14"/>
        <v>284.29874837805698</v>
      </c>
      <c r="T46" s="38">
        <f>4*($C$6+$C$7)+$B$7*Y45+$B$9*T45+$B$6*Z50+$B$8*U50</f>
        <v>308.10949559542598</v>
      </c>
      <c r="U46" s="38">
        <f t="shared" si="19"/>
        <v>292.62265191660634</v>
      </c>
      <c r="Y46" s="38">
        <f>5*($C$6+$C$7)+$B$7*Y45+$B$9*Y45+$B$6*Z50+$B$8*Z50</f>
        <v>312.27144759295271</v>
      </c>
      <c r="Z46" s="38">
        <f t="shared" si="24"/>
        <v>296.78460390853115</v>
      </c>
    </row>
    <row r="47" spans="1:26" x14ac:dyDescent="0.35">
      <c r="A47" s="7">
        <v>31</v>
      </c>
      <c r="E47" s="38">
        <f>1*($C$6+$C$7)+$B$7*J46+$B$9*E46+$B$6*K51+$B$8*F51</f>
        <v>280.96746817394569</v>
      </c>
      <c r="F47" s="38">
        <f t="shared" si="4"/>
        <v>265.05794407687858</v>
      </c>
      <c r="J47" s="38">
        <f>2*($C$6+$C$7)+$B$7*O46+$B$9*J46+$B$6*P51+$B$8*K51</f>
        <v>297.6152522462869</v>
      </c>
      <c r="K47" s="38">
        <f t="shared" si="9"/>
        <v>281.7057160459662</v>
      </c>
      <c r="O47" s="38">
        <f>3*($C$6+$C$7)+$B$7*T46+$B$9*O46+$B$6*U51+$B$8*P51</f>
        <v>310.10110577418192</v>
      </c>
      <c r="P47" s="38">
        <f t="shared" si="14"/>
        <v>294.19156828107498</v>
      </c>
      <c r="T47" s="38">
        <f>4*($C$6+$C$7)+$B$7*Y46+$B$9*T46+$B$6*Z51+$B$8*U51</f>
        <v>318.42500962174068</v>
      </c>
      <c r="U47" s="38">
        <f t="shared" si="19"/>
        <v>302.51547203910388</v>
      </c>
      <c r="Y47" s="38">
        <f>5*($C$6+$C$7)+$B$7*Y46+$B$9*Y46+$B$6*Z51+$B$8*Z51</f>
        <v>322.58696162446864</v>
      </c>
      <c r="Z47" s="38">
        <f t="shared" si="24"/>
        <v>306.67742403881562</v>
      </c>
    </row>
    <row r="48" spans="1:26" x14ac:dyDescent="0.35">
      <c r="A48" s="7">
        <v>32</v>
      </c>
      <c r="E48" s="38">
        <f>1*($C$6+$C$7)+$B$7*J47+$B$9*E47+$B$6*K52+$B$8*F52</f>
        <v>291.27771209628264</v>
      </c>
      <c r="F48" s="38">
        <f t="shared" si="4"/>
        <v>274.95074706251734</v>
      </c>
      <c r="J48" s="38">
        <f>2*($C$6+$C$7)+$B$7*O47+$B$9*J47+$B$6*P52+$B$8*K52</f>
        <v>307.92550654972155</v>
      </c>
      <c r="K48" s="38">
        <f t="shared" si="9"/>
        <v>291.59853437460271</v>
      </c>
      <c r="O48" s="38">
        <f>3*($C$6+$C$7)+$B$7*T47+$B$9*O47+$B$6*U52+$B$8*P52</f>
        <v>320.41136120262826</v>
      </c>
      <c r="P48" s="38">
        <f t="shared" si="14"/>
        <v>304.08438828843202</v>
      </c>
      <c r="T48" s="38">
        <f>4*($C$6+$C$7)+$B$7*Y47+$B$9*T47+$B$6*Z52+$B$8*U52</f>
        <v>328.73526512912821</v>
      </c>
      <c r="U48" s="38">
        <f t="shared" si="19"/>
        <v>312.40829216530341</v>
      </c>
      <c r="Y48" s="38">
        <f>5*($C$6+$C$7)+$B$7*Y47+$B$9*Y47+$B$6*Z52+$B$8*Z52</f>
        <v>332.89721713454736</v>
      </c>
      <c r="Z48" s="38">
        <f t="shared" si="24"/>
        <v>316.57024416910019</v>
      </c>
    </row>
    <row r="49" spans="1:26" x14ac:dyDescent="0.35">
      <c r="A49" s="7">
        <v>33</v>
      </c>
      <c r="F49" s="38">
        <f t="shared" si="4"/>
        <v>284.8435573421142</v>
      </c>
      <c r="K49" s="38">
        <f t="shared" si="9"/>
        <v>301.4913535012916</v>
      </c>
      <c r="P49" s="38">
        <f t="shared" si="14"/>
        <v>313.97720835228597</v>
      </c>
      <c r="U49" s="38">
        <f t="shared" si="19"/>
        <v>322.30111229344493</v>
      </c>
      <c r="Z49" s="38">
        <f t="shared" si="24"/>
        <v>326.46306429938471</v>
      </c>
    </row>
    <row r="50" spans="1:26" x14ac:dyDescent="0.35">
      <c r="A50" s="7">
        <v>34</v>
      </c>
      <c r="F50" s="38">
        <f t="shared" si="4"/>
        <v>294.7363718275592</v>
      </c>
      <c r="K50" s="38">
        <f t="shared" si="9"/>
        <v>311.3841730735025</v>
      </c>
      <c r="P50" s="38">
        <f t="shared" si="14"/>
        <v>323.87002844670178</v>
      </c>
      <c r="U50" s="38">
        <f t="shared" si="19"/>
        <v>332.19393242260514</v>
      </c>
      <c r="Z50" s="38">
        <f t="shared" si="24"/>
        <v>336.35588442966929</v>
      </c>
    </row>
    <row r="51" spans="1:26" x14ac:dyDescent="0.35">
      <c r="A51" s="7">
        <v>35</v>
      </c>
      <c r="F51" s="38">
        <f t="shared" si="4"/>
        <v>304.62918873121845</v>
      </c>
      <c r="K51" s="38">
        <f t="shared" si="9"/>
        <v>321.27699289396611</v>
      </c>
      <c r="P51" s="38">
        <f t="shared" si="14"/>
        <v>333.76284855763492</v>
      </c>
      <c r="U51" s="38">
        <f t="shared" si="19"/>
        <v>342.08675255229986</v>
      </c>
      <c r="Z51" s="38">
        <f t="shared" si="24"/>
        <v>346.24870455995381</v>
      </c>
    </row>
    <row r="52" spans="1:26" x14ac:dyDescent="0.35">
      <c r="A52" s="7">
        <v>36</v>
      </c>
      <c r="F52" s="38">
        <f t="shared" si="4"/>
        <v>314.52200702150697</v>
      </c>
      <c r="K52" s="38">
        <f t="shared" si="9"/>
        <v>331.169812852517</v>
      </c>
      <c r="P52" s="38">
        <f t="shared" si="14"/>
        <v>343.6556686774872</v>
      </c>
      <c r="U52" s="38">
        <f t="shared" si="19"/>
        <v>351.97957268227498</v>
      </c>
      <c r="Z52" s="38">
        <f t="shared" si="24"/>
        <v>356.14152469023838</v>
      </c>
    </row>
    <row r="55" spans="1:26" x14ac:dyDescent="0.35">
      <c r="A55" s="7" t="s">
        <v>165</v>
      </c>
    </row>
    <row r="56" spans="1:26" ht="56.5" x14ac:dyDescent="0.35">
      <c r="A56" s="3" t="s">
        <v>68</v>
      </c>
      <c r="B56" s="3" t="s">
        <v>166</v>
      </c>
      <c r="C56" s="3" t="s">
        <v>167</v>
      </c>
      <c r="D56" s="3" t="s">
        <v>168</v>
      </c>
      <c r="E56" s="3" t="s">
        <v>169</v>
      </c>
    </row>
    <row r="57" spans="1:26" x14ac:dyDescent="0.35">
      <c r="A57" s="7">
        <v>3</v>
      </c>
      <c r="B57" s="12">
        <f>Paytable!$C$19</f>
        <v>10</v>
      </c>
      <c r="C57" s="39">
        <f>INDEX($B$16:$B$52,B57+1)</f>
        <v>65.404958251530928</v>
      </c>
      <c r="D57" s="40">
        <f>Scatters!$H$11</f>
        <v>5.1042639277933391E-3</v>
      </c>
      <c r="E57" s="30">
        <f>C57*D57</f>
        <v>0.33384416910211862</v>
      </c>
    </row>
    <row r="58" spans="1:26" x14ac:dyDescent="0.35">
      <c r="A58" s="7">
        <v>4</v>
      </c>
      <c r="B58" s="12">
        <f>Paytable!$C$20</f>
        <v>15</v>
      </c>
      <c r="C58" s="39">
        <f>INDEX($B$16:$B$52,B58+1)</f>
        <v>116.7605570952993</v>
      </c>
      <c r="D58" s="40">
        <f>Scatters!$I$11</f>
        <v>2.3634453781512602E-4</v>
      </c>
      <c r="E58" s="30">
        <f>C58*D58</f>
        <v>2.7595719901725147E-2</v>
      </c>
    </row>
    <row r="59" spans="1:26" x14ac:dyDescent="0.35">
      <c r="A59" s="7">
        <v>5</v>
      </c>
      <c r="B59" s="12">
        <f>Paytable!$C$21</f>
        <v>20</v>
      </c>
      <c r="C59" s="39">
        <f>INDEX($B$16:$B$52,B59+1)</f>
        <v>169.36526661704821</v>
      </c>
      <c r="D59" s="40">
        <f>Scatters!$J$11</f>
        <v>4.3767507002801126E-6</v>
      </c>
      <c r="E59" s="30">
        <f>C59*D59</f>
        <v>7.412695492692937E-4</v>
      </c>
    </row>
    <row r="60" spans="1:26" x14ac:dyDescent="0.35">
      <c r="A60" s="7" t="s">
        <v>170</v>
      </c>
      <c r="E60" s="32">
        <f>SUM(E57:E59)</f>
        <v>0.36218115855311306</v>
      </c>
    </row>
    <row r="61" spans="1:26" x14ac:dyDescent="0.35">
      <c r="A61" s="2" t="s">
        <v>171</v>
      </c>
      <c r="B61" s="13">
        <v>65.404958251530601</v>
      </c>
      <c r="C61" s="13">
        <v>116.760557095298</v>
      </c>
      <c r="D61" s="13">
        <v>169.36526661704701</v>
      </c>
      <c r="E61" s="5">
        <v>0.362181158553111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1"/>
  <sheetViews>
    <sheetView zoomScaleNormal="100" workbookViewId="0"/>
  </sheetViews>
  <sheetFormatPr defaultColWidth="8.6328125" defaultRowHeight="14.5" x14ac:dyDescent="0.35"/>
  <cols>
    <col min="1" max="1" width="40" customWidth="1"/>
    <col min="2" max="25" width="11" customWidth="1"/>
  </cols>
  <sheetData>
    <row r="1" spans="1:13" ht="18" x14ac:dyDescent="0.4">
      <c r="A1" s="1" t="s">
        <v>172</v>
      </c>
    </row>
    <row r="2" spans="1:13" x14ac:dyDescent="0.35">
      <c r="A2" s="2" t="s">
        <v>173</v>
      </c>
    </row>
    <row r="4" spans="1:13" x14ac:dyDescent="0.35">
      <c r="A4" s="3" t="s">
        <v>46</v>
      </c>
      <c r="B4" s="3" t="s">
        <v>87</v>
      </c>
      <c r="C4" s="3" t="s">
        <v>88</v>
      </c>
      <c r="D4" s="3" t="s">
        <v>89</v>
      </c>
      <c r="E4" s="3" t="s">
        <v>90</v>
      </c>
      <c r="F4" s="3" t="s">
        <v>91</v>
      </c>
      <c r="H4" s="3" t="s">
        <v>46</v>
      </c>
      <c r="I4" s="3" t="s">
        <v>174</v>
      </c>
      <c r="J4" s="3" t="s">
        <v>175</v>
      </c>
      <c r="K4" s="3" t="s">
        <v>176</v>
      </c>
      <c r="L4" s="3" t="s">
        <v>177</v>
      </c>
      <c r="M4" s="3" t="s">
        <v>178</v>
      </c>
    </row>
    <row r="5" spans="1:13" x14ac:dyDescent="0.35">
      <c r="A5" s="7" t="s">
        <v>51</v>
      </c>
      <c r="B5" s="19">
        <v>0</v>
      </c>
      <c r="C5" s="19">
        <v>2</v>
      </c>
      <c r="D5" s="19">
        <v>2</v>
      </c>
      <c r="E5" s="19">
        <v>2</v>
      </c>
      <c r="F5" s="19">
        <v>0</v>
      </c>
      <c r="H5" s="7" t="s">
        <v>51</v>
      </c>
      <c r="I5" s="21">
        <f t="shared" ref="I5:I14" si="0">B5/B$15</f>
        <v>0</v>
      </c>
      <c r="J5" s="21">
        <f t="shared" ref="J5:J14" si="1">C5/C$15</f>
        <v>5.5555555555555552E-2</v>
      </c>
      <c r="K5" s="21">
        <f t="shared" ref="K5:K14" si="2">D5/D$15</f>
        <v>5.5555555555555552E-2</v>
      </c>
      <c r="L5" s="21">
        <f t="shared" ref="L5:L14" si="3">E5/E$15</f>
        <v>5.7142857142857141E-2</v>
      </c>
      <c r="M5" s="21">
        <f t="shared" ref="M5:M14" si="4">F5/F$15</f>
        <v>0</v>
      </c>
    </row>
    <row r="6" spans="1:13" x14ac:dyDescent="0.35">
      <c r="A6" s="7" t="s">
        <v>53</v>
      </c>
      <c r="B6" s="19">
        <v>1</v>
      </c>
      <c r="C6" s="19">
        <v>1</v>
      </c>
      <c r="D6" s="19">
        <v>1</v>
      </c>
      <c r="E6" s="19">
        <v>1</v>
      </c>
      <c r="F6" s="19">
        <v>1</v>
      </c>
      <c r="H6" s="7" t="s">
        <v>53</v>
      </c>
      <c r="I6" s="21">
        <f t="shared" si="0"/>
        <v>2.7777777777777776E-2</v>
      </c>
      <c r="J6" s="21">
        <f t="shared" si="1"/>
        <v>2.7777777777777776E-2</v>
      </c>
      <c r="K6" s="21">
        <f t="shared" si="2"/>
        <v>2.7777777777777776E-2</v>
      </c>
      <c r="L6" s="21">
        <f t="shared" si="3"/>
        <v>2.8571428571428571E-2</v>
      </c>
      <c r="M6" s="21">
        <f t="shared" si="4"/>
        <v>2.9411764705882353E-2</v>
      </c>
    </row>
    <row r="7" spans="1:13" x14ac:dyDescent="0.35">
      <c r="A7" s="7" t="s">
        <v>55</v>
      </c>
      <c r="B7" s="19">
        <v>3</v>
      </c>
      <c r="C7" s="19">
        <v>4</v>
      </c>
      <c r="D7" s="19">
        <v>4</v>
      </c>
      <c r="E7" s="19">
        <v>4</v>
      </c>
      <c r="F7" s="19">
        <v>3</v>
      </c>
      <c r="H7" s="7" t="s">
        <v>55</v>
      </c>
      <c r="I7" s="21">
        <f t="shared" si="0"/>
        <v>8.3333333333333329E-2</v>
      </c>
      <c r="J7" s="21">
        <f t="shared" si="1"/>
        <v>0.1111111111111111</v>
      </c>
      <c r="K7" s="21">
        <f t="shared" si="2"/>
        <v>0.1111111111111111</v>
      </c>
      <c r="L7" s="21">
        <f t="shared" si="3"/>
        <v>0.11428571428571428</v>
      </c>
      <c r="M7" s="21">
        <f t="shared" si="4"/>
        <v>8.8235294117647065E-2</v>
      </c>
    </row>
    <row r="8" spans="1:13" x14ac:dyDescent="0.35">
      <c r="A8" s="7" t="s">
        <v>57</v>
      </c>
      <c r="B8" s="19">
        <v>4</v>
      </c>
      <c r="C8" s="19">
        <v>4</v>
      </c>
      <c r="D8" s="19">
        <v>3</v>
      </c>
      <c r="E8" s="19">
        <v>2</v>
      </c>
      <c r="F8" s="19">
        <v>5</v>
      </c>
      <c r="H8" s="7" t="s">
        <v>57</v>
      </c>
      <c r="I8" s="21">
        <f t="shared" si="0"/>
        <v>0.1111111111111111</v>
      </c>
      <c r="J8" s="21">
        <f t="shared" si="1"/>
        <v>0.1111111111111111</v>
      </c>
      <c r="K8" s="21">
        <f t="shared" si="2"/>
        <v>8.3333333333333329E-2</v>
      </c>
      <c r="L8" s="21">
        <f t="shared" si="3"/>
        <v>5.7142857142857141E-2</v>
      </c>
      <c r="M8" s="21">
        <f t="shared" si="4"/>
        <v>0.14705882352941177</v>
      </c>
    </row>
    <row r="9" spans="1:13" x14ac:dyDescent="0.35">
      <c r="A9" s="7" t="s">
        <v>59</v>
      </c>
      <c r="B9" s="19">
        <v>4</v>
      </c>
      <c r="C9" s="19">
        <v>3</v>
      </c>
      <c r="D9" s="19">
        <v>3</v>
      </c>
      <c r="E9" s="19">
        <v>2</v>
      </c>
      <c r="F9" s="19">
        <v>4</v>
      </c>
      <c r="H9" s="7" t="s">
        <v>59</v>
      </c>
      <c r="I9" s="21">
        <f t="shared" si="0"/>
        <v>0.1111111111111111</v>
      </c>
      <c r="J9" s="21">
        <f t="shared" si="1"/>
        <v>8.3333333333333329E-2</v>
      </c>
      <c r="K9" s="21">
        <f t="shared" si="2"/>
        <v>8.3333333333333329E-2</v>
      </c>
      <c r="L9" s="21">
        <f t="shared" si="3"/>
        <v>5.7142857142857141E-2</v>
      </c>
      <c r="M9" s="21">
        <f t="shared" si="4"/>
        <v>0.11764705882352941</v>
      </c>
    </row>
    <row r="10" spans="1:13" x14ac:dyDescent="0.35">
      <c r="A10" s="7" t="s">
        <v>61</v>
      </c>
      <c r="B10" s="19">
        <v>4</v>
      </c>
      <c r="C10" s="19">
        <v>2</v>
      </c>
      <c r="D10" s="19">
        <v>3</v>
      </c>
      <c r="E10" s="19">
        <v>5</v>
      </c>
      <c r="F10" s="19">
        <v>4</v>
      </c>
      <c r="H10" s="7" t="s">
        <v>61</v>
      </c>
      <c r="I10" s="21">
        <f t="shared" si="0"/>
        <v>0.1111111111111111</v>
      </c>
      <c r="J10" s="21">
        <f t="shared" si="1"/>
        <v>5.5555555555555552E-2</v>
      </c>
      <c r="K10" s="21">
        <f t="shared" si="2"/>
        <v>8.3333333333333329E-2</v>
      </c>
      <c r="L10" s="21">
        <f t="shared" si="3"/>
        <v>0.14285714285714285</v>
      </c>
      <c r="M10" s="21">
        <f t="shared" si="4"/>
        <v>0.11764705882352941</v>
      </c>
    </row>
    <row r="11" spans="1:13" x14ac:dyDescent="0.35">
      <c r="A11" s="7" t="s">
        <v>63</v>
      </c>
      <c r="B11" s="19">
        <v>5</v>
      </c>
      <c r="C11" s="19">
        <v>5</v>
      </c>
      <c r="D11" s="19">
        <v>5</v>
      </c>
      <c r="E11" s="19">
        <v>7</v>
      </c>
      <c r="F11" s="19">
        <v>6</v>
      </c>
      <c r="H11" s="7" t="s">
        <v>63</v>
      </c>
      <c r="I11" s="21">
        <f t="shared" si="0"/>
        <v>0.1388888888888889</v>
      </c>
      <c r="J11" s="21">
        <f t="shared" si="1"/>
        <v>0.1388888888888889</v>
      </c>
      <c r="K11" s="21">
        <f t="shared" si="2"/>
        <v>0.1388888888888889</v>
      </c>
      <c r="L11" s="21">
        <f t="shared" si="3"/>
        <v>0.2</v>
      </c>
      <c r="M11" s="21">
        <f t="shared" si="4"/>
        <v>0.17647058823529413</v>
      </c>
    </row>
    <row r="12" spans="1:13" x14ac:dyDescent="0.35">
      <c r="A12" s="7" t="s">
        <v>64</v>
      </c>
      <c r="B12" s="19">
        <v>5</v>
      </c>
      <c r="C12" s="19">
        <v>5</v>
      </c>
      <c r="D12" s="19">
        <v>5</v>
      </c>
      <c r="E12" s="19">
        <v>3</v>
      </c>
      <c r="F12" s="19">
        <v>4</v>
      </c>
      <c r="H12" s="7" t="s">
        <v>64</v>
      </c>
      <c r="I12" s="21">
        <f t="shared" si="0"/>
        <v>0.1388888888888889</v>
      </c>
      <c r="J12" s="21">
        <f t="shared" si="1"/>
        <v>0.1388888888888889</v>
      </c>
      <c r="K12" s="21">
        <f t="shared" si="2"/>
        <v>0.1388888888888889</v>
      </c>
      <c r="L12" s="21">
        <f t="shared" si="3"/>
        <v>8.5714285714285715E-2</v>
      </c>
      <c r="M12" s="21">
        <f t="shared" si="4"/>
        <v>0.11764705882352941</v>
      </c>
    </row>
    <row r="13" spans="1:13" x14ac:dyDescent="0.35">
      <c r="A13" s="7" t="s">
        <v>65</v>
      </c>
      <c r="B13" s="19">
        <v>5</v>
      </c>
      <c r="C13" s="19">
        <v>5</v>
      </c>
      <c r="D13" s="19">
        <v>5</v>
      </c>
      <c r="E13" s="19">
        <v>5</v>
      </c>
      <c r="F13" s="19">
        <v>4</v>
      </c>
      <c r="H13" s="7" t="s">
        <v>65</v>
      </c>
      <c r="I13" s="21">
        <f t="shared" si="0"/>
        <v>0.1388888888888889</v>
      </c>
      <c r="J13" s="21">
        <f t="shared" si="1"/>
        <v>0.1388888888888889</v>
      </c>
      <c r="K13" s="21">
        <f t="shared" si="2"/>
        <v>0.1388888888888889</v>
      </c>
      <c r="L13" s="21">
        <f t="shared" si="3"/>
        <v>0.14285714285714285</v>
      </c>
      <c r="M13" s="21">
        <f t="shared" si="4"/>
        <v>0.11764705882352941</v>
      </c>
    </row>
    <row r="14" spans="1:13" x14ac:dyDescent="0.35">
      <c r="A14" s="7" t="s">
        <v>66</v>
      </c>
      <c r="B14" s="19">
        <v>5</v>
      </c>
      <c r="C14" s="19">
        <v>5</v>
      </c>
      <c r="D14" s="19">
        <v>5</v>
      </c>
      <c r="E14" s="19">
        <v>4</v>
      </c>
      <c r="F14" s="19">
        <v>3</v>
      </c>
      <c r="H14" s="7" t="s">
        <v>66</v>
      </c>
      <c r="I14" s="21">
        <f t="shared" si="0"/>
        <v>0.1388888888888889</v>
      </c>
      <c r="J14" s="21">
        <f t="shared" si="1"/>
        <v>0.1388888888888889</v>
      </c>
      <c r="K14" s="21">
        <f t="shared" si="2"/>
        <v>0.1388888888888889</v>
      </c>
      <c r="L14" s="21">
        <f t="shared" si="3"/>
        <v>0.11428571428571428</v>
      </c>
      <c r="M14" s="21">
        <f t="shared" si="4"/>
        <v>8.8235294117647065E-2</v>
      </c>
    </row>
    <row r="15" spans="1:13" x14ac:dyDescent="0.35">
      <c r="A15" s="7" t="s">
        <v>92</v>
      </c>
      <c r="B15" s="7">
        <f>SUM(B5:B14)</f>
        <v>36</v>
      </c>
      <c r="C15" s="7">
        <f>SUM(C5:C14)</f>
        <v>36</v>
      </c>
      <c r="D15" s="7">
        <f>SUM(D5:D14)</f>
        <v>36</v>
      </c>
      <c r="E15" s="7">
        <f>SUM(E5:E14)</f>
        <v>35</v>
      </c>
      <c r="F15" s="7">
        <f>SUM(F5:F14)</f>
        <v>34</v>
      </c>
    </row>
    <row r="18" spans="1:23" x14ac:dyDescent="0.35">
      <c r="A18" s="7" t="s">
        <v>179</v>
      </c>
    </row>
    <row r="19" spans="1:23" x14ac:dyDescent="0.35">
      <c r="A19" s="2" t="s">
        <v>97</v>
      </c>
    </row>
    <row r="20" spans="1:23" ht="28.5" x14ac:dyDescent="0.35">
      <c r="A20" s="3" t="s">
        <v>46</v>
      </c>
      <c r="B20" s="3" t="s">
        <v>98</v>
      </c>
      <c r="C20" s="3" t="s">
        <v>99</v>
      </c>
      <c r="D20" s="3" t="s">
        <v>100</v>
      </c>
      <c r="E20" s="3" t="s">
        <v>101</v>
      </c>
      <c r="F20" s="3" t="s">
        <v>102</v>
      </c>
      <c r="G20" s="3" t="s">
        <v>103</v>
      </c>
      <c r="H20" s="3" t="s">
        <v>104</v>
      </c>
      <c r="I20" s="3" t="s">
        <v>105</v>
      </c>
      <c r="J20" s="3" t="s">
        <v>106</v>
      </c>
      <c r="K20" s="3" t="s">
        <v>107</v>
      </c>
      <c r="L20" s="3" t="s">
        <v>108</v>
      </c>
      <c r="M20" s="3" t="s">
        <v>109</v>
      </c>
      <c r="N20" s="3" t="s">
        <v>110</v>
      </c>
      <c r="O20" s="3" t="s">
        <v>111</v>
      </c>
      <c r="P20" s="3" t="s">
        <v>112</v>
      </c>
      <c r="Q20" s="3" t="s">
        <v>113</v>
      </c>
      <c r="R20" s="3" t="s">
        <v>114</v>
      </c>
      <c r="S20" s="3" t="s">
        <v>115</v>
      </c>
      <c r="T20" s="3" t="s">
        <v>116</v>
      </c>
      <c r="U20" s="3" t="s">
        <v>117</v>
      </c>
      <c r="V20" s="3" t="s">
        <v>118</v>
      </c>
      <c r="W20" s="3" t="s">
        <v>119</v>
      </c>
    </row>
    <row r="21" spans="1:23" x14ac:dyDescent="0.35">
      <c r="A21" s="7" t="s">
        <v>55</v>
      </c>
      <c r="B21" s="23">
        <f>Scenario!$I$7</f>
        <v>8.3333333333333329E-2</v>
      </c>
      <c r="C21" s="23">
        <f>Scenario!$J$7</f>
        <v>0.1111111111111111</v>
      </c>
      <c r="D21" s="23">
        <f>Scenario!$K$7</f>
        <v>0.1111111111111111</v>
      </c>
      <c r="E21" s="23">
        <f>Scenario!$L$7</f>
        <v>0.11428571428571428</v>
      </c>
      <c r="F21" s="23">
        <f>Scenario!$M$7</f>
        <v>8.8235294117647065E-2</v>
      </c>
      <c r="G21" s="23">
        <f>Scenario!$J$5</f>
        <v>5.5555555555555552E-2</v>
      </c>
      <c r="H21" s="23">
        <f>Scenario!$K$5</f>
        <v>5.5555555555555552E-2</v>
      </c>
      <c r="I21" s="23">
        <f>Scenario!$L$5</f>
        <v>5.7142857142857141E-2</v>
      </c>
      <c r="J21" s="23">
        <f>Scenario!$M$5</f>
        <v>0</v>
      </c>
      <c r="K21" s="24">
        <f t="shared" ref="K21:K28" si="5">B21</f>
        <v>8.3333333333333329E-2</v>
      </c>
      <c r="L21" s="24">
        <f t="shared" ref="L21:O28" si="6">K21*(C21+G21)</f>
        <v>1.3888888888888888E-2</v>
      </c>
      <c r="M21" s="24">
        <f t="shared" si="6"/>
        <v>2.3148148148148147E-3</v>
      </c>
      <c r="N21" s="24">
        <f t="shared" si="6"/>
        <v>3.9682539682539683E-4</v>
      </c>
      <c r="O21" s="24">
        <f t="shared" si="6"/>
        <v>3.5014005602240901E-5</v>
      </c>
      <c r="P21" s="24">
        <f t="shared" ref="P21:Q28" si="7">M21-N21</f>
        <v>1.917989417989418E-3</v>
      </c>
      <c r="Q21" s="24">
        <f t="shared" si="7"/>
        <v>3.6181139122315594E-4</v>
      </c>
      <c r="R21" s="24">
        <f t="shared" ref="R21:R28" si="8">O21</f>
        <v>3.5014005602240901E-5</v>
      </c>
      <c r="S21" s="25">
        <f>Paytable!$C$7</f>
        <v>2</v>
      </c>
      <c r="T21" s="25">
        <f>Paytable!$D$7</f>
        <v>8</v>
      </c>
      <c r="U21" s="25">
        <f>Paytable!$E$7</f>
        <v>40</v>
      </c>
      <c r="V21" s="24">
        <f t="shared" ref="V21:V28" si="9">SUMPRODUCT(P21:R21,S21:U21)</f>
        <v>8.1310301898537204E-3</v>
      </c>
      <c r="W21" s="24">
        <f t="shared" ref="W21:W28" si="10">SUMPRODUCT(P21:R21,--(S21:U21&gt;0))</f>
        <v>2.3148148148148147E-3</v>
      </c>
    </row>
    <row r="22" spans="1:23" x14ac:dyDescent="0.35">
      <c r="A22" s="7" t="s">
        <v>57</v>
      </c>
      <c r="B22" s="23">
        <f>Scenario!$I$8</f>
        <v>0.1111111111111111</v>
      </c>
      <c r="C22" s="23">
        <f>Scenario!$J$8</f>
        <v>0.1111111111111111</v>
      </c>
      <c r="D22" s="23">
        <f>Scenario!$K$8</f>
        <v>8.3333333333333329E-2</v>
      </c>
      <c r="E22" s="23">
        <f>Scenario!$L$8</f>
        <v>5.7142857142857141E-2</v>
      </c>
      <c r="F22" s="23">
        <f>Scenario!$M$8</f>
        <v>0.14705882352941177</v>
      </c>
      <c r="G22" s="23">
        <f>Scenario!$J$5</f>
        <v>5.5555555555555552E-2</v>
      </c>
      <c r="H22" s="23">
        <f>Scenario!$K$5</f>
        <v>5.5555555555555552E-2</v>
      </c>
      <c r="I22" s="23">
        <f>Scenario!$L$5</f>
        <v>5.7142857142857141E-2</v>
      </c>
      <c r="J22" s="23">
        <f>Scenario!$M$5</f>
        <v>0</v>
      </c>
      <c r="K22" s="24">
        <f t="shared" si="5"/>
        <v>0.1111111111111111</v>
      </c>
      <c r="L22" s="24">
        <f t="shared" si="6"/>
        <v>1.8518518518518517E-2</v>
      </c>
      <c r="M22" s="24">
        <f t="shared" si="6"/>
        <v>2.5720164609053498E-3</v>
      </c>
      <c r="N22" s="24">
        <f t="shared" si="6"/>
        <v>2.9394473838918284E-4</v>
      </c>
      <c r="O22" s="24">
        <f t="shared" si="6"/>
        <v>4.3227167410173951E-5</v>
      </c>
      <c r="P22" s="24">
        <f t="shared" si="7"/>
        <v>2.2780717225161671E-3</v>
      </c>
      <c r="Q22" s="24">
        <f t="shared" si="7"/>
        <v>2.5071757097900888E-4</v>
      </c>
      <c r="R22" s="24">
        <f t="shared" si="8"/>
        <v>4.3227167410173951E-5</v>
      </c>
      <c r="S22" s="25">
        <f>Paytable!$C$8</f>
        <v>1.5</v>
      </c>
      <c r="T22" s="25">
        <f>Paytable!$D$8</f>
        <v>5</v>
      </c>
      <c r="U22" s="25">
        <f>Paytable!$E$8</f>
        <v>25</v>
      </c>
      <c r="V22" s="24">
        <f t="shared" si="9"/>
        <v>5.7513746239236437E-3</v>
      </c>
      <c r="W22" s="24">
        <f t="shared" si="10"/>
        <v>2.5720164609053502E-3</v>
      </c>
    </row>
    <row r="23" spans="1:23" x14ac:dyDescent="0.35">
      <c r="A23" s="7" t="s">
        <v>59</v>
      </c>
      <c r="B23" s="23">
        <f>Scenario!$I$9</f>
        <v>0.1111111111111111</v>
      </c>
      <c r="C23" s="23">
        <f>Scenario!$J$9</f>
        <v>8.3333333333333329E-2</v>
      </c>
      <c r="D23" s="23">
        <f>Scenario!$K$9</f>
        <v>8.3333333333333329E-2</v>
      </c>
      <c r="E23" s="23">
        <f>Scenario!$L$9</f>
        <v>5.7142857142857141E-2</v>
      </c>
      <c r="F23" s="23">
        <f>Scenario!$M$9</f>
        <v>0.11764705882352941</v>
      </c>
      <c r="G23" s="23">
        <f>Scenario!$J$5</f>
        <v>5.5555555555555552E-2</v>
      </c>
      <c r="H23" s="23">
        <f>Scenario!$K$5</f>
        <v>5.5555555555555552E-2</v>
      </c>
      <c r="I23" s="23">
        <f>Scenario!$L$5</f>
        <v>5.7142857142857141E-2</v>
      </c>
      <c r="J23" s="23">
        <f>Scenario!$M$5</f>
        <v>0</v>
      </c>
      <c r="K23" s="24">
        <f t="shared" si="5"/>
        <v>0.1111111111111111</v>
      </c>
      <c r="L23" s="24">
        <f t="shared" si="6"/>
        <v>1.5432098765432098E-2</v>
      </c>
      <c r="M23" s="24">
        <f t="shared" si="6"/>
        <v>2.1433470507544582E-3</v>
      </c>
      <c r="N23" s="24">
        <f t="shared" si="6"/>
        <v>2.4495394865765234E-4</v>
      </c>
      <c r="O23" s="24">
        <f t="shared" si="6"/>
        <v>2.8818111606782627E-5</v>
      </c>
      <c r="P23" s="24">
        <f t="shared" si="7"/>
        <v>1.8983931020968058E-3</v>
      </c>
      <c r="Q23" s="24">
        <f t="shared" si="7"/>
        <v>2.161358370508697E-4</v>
      </c>
      <c r="R23" s="24">
        <f t="shared" si="8"/>
        <v>2.8818111606782627E-5</v>
      </c>
      <c r="S23" s="25">
        <f>Paytable!$C$9</f>
        <v>1</v>
      </c>
      <c r="T23" s="25">
        <f>Paytable!$D$9</f>
        <v>3</v>
      </c>
      <c r="U23" s="25">
        <f>Paytable!$E$9</f>
        <v>15</v>
      </c>
      <c r="V23" s="24">
        <f t="shared" si="9"/>
        <v>2.9790722873511543E-3</v>
      </c>
      <c r="W23" s="24">
        <f t="shared" si="10"/>
        <v>2.1433470507544582E-3</v>
      </c>
    </row>
    <row r="24" spans="1:23" x14ac:dyDescent="0.35">
      <c r="A24" s="7" t="s">
        <v>61</v>
      </c>
      <c r="B24" s="23">
        <f>Scenario!$I$10</f>
        <v>0.1111111111111111</v>
      </c>
      <c r="C24" s="23">
        <f>Scenario!$J$10</f>
        <v>5.5555555555555552E-2</v>
      </c>
      <c r="D24" s="23">
        <f>Scenario!$K$10</f>
        <v>8.3333333333333329E-2</v>
      </c>
      <c r="E24" s="23">
        <f>Scenario!$L$10</f>
        <v>0.14285714285714285</v>
      </c>
      <c r="F24" s="23">
        <f>Scenario!$M$10</f>
        <v>0.11764705882352941</v>
      </c>
      <c r="G24" s="23">
        <f>Scenario!$J$5</f>
        <v>5.5555555555555552E-2</v>
      </c>
      <c r="H24" s="23">
        <f>Scenario!$K$5</f>
        <v>5.5555555555555552E-2</v>
      </c>
      <c r="I24" s="23">
        <f>Scenario!$L$5</f>
        <v>5.7142857142857141E-2</v>
      </c>
      <c r="J24" s="23">
        <f>Scenario!$M$5</f>
        <v>0</v>
      </c>
      <c r="K24" s="24">
        <f t="shared" si="5"/>
        <v>0.1111111111111111</v>
      </c>
      <c r="L24" s="24">
        <f t="shared" si="6"/>
        <v>1.2345679012345678E-2</v>
      </c>
      <c r="M24" s="24">
        <f t="shared" si="6"/>
        <v>1.7146776406035665E-3</v>
      </c>
      <c r="N24" s="24">
        <f t="shared" si="6"/>
        <v>3.4293552812071328E-4</v>
      </c>
      <c r="O24" s="24">
        <f t="shared" si="6"/>
        <v>4.0345356249495677E-5</v>
      </c>
      <c r="P24" s="24">
        <f t="shared" si="7"/>
        <v>1.3717421124828531E-3</v>
      </c>
      <c r="Q24" s="24">
        <f t="shared" si="7"/>
        <v>3.025901718712176E-4</v>
      </c>
      <c r="R24" s="24">
        <f t="shared" si="8"/>
        <v>4.0345356249495677E-5</v>
      </c>
      <c r="S24" s="25">
        <f>Paytable!$C$10</f>
        <v>0.8</v>
      </c>
      <c r="T24" s="25">
        <f>Paytable!$D$10</f>
        <v>2</v>
      </c>
      <c r="U24" s="25">
        <f>Paytable!$E$10</f>
        <v>10</v>
      </c>
      <c r="V24" s="24">
        <f t="shared" si="9"/>
        <v>2.1060275962236745E-3</v>
      </c>
      <c r="W24" s="24">
        <f t="shared" si="10"/>
        <v>1.7146776406035665E-3</v>
      </c>
    </row>
    <row r="25" spans="1:23" x14ac:dyDescent="0.35">
      <c r="A25" s="7" t="s">
        <v>63</v>
      </c>
      <c r="B25" s="23">
        <f>Scenario!$I$11</f>
        <v>0.1388888888888889</v>
      </c>
      <c r="C25" s="23">
        <f>Scenario!$J$11</f>
        <v>0.1388888888888889</v>
      </c>
      <c r="D25" s="23">
        <f>Scenario!$K$11</f>
        <v>0.1388888888888889</v>
      </c>
      <c r="E25" s="23">
        <f>Scenario!$L$11</f>
        <v>0.2</v>
      </c>
      <c r="F25" s="23">
        <f>Scenario!$M$11</f>
        <v>0.17647058823529413</v>
      </c>
      <c r="G25" s="23">
        <f>Scenario!$J$5</f>
        <v>5.5555555555555552E-2</v>
      </c>
      <c r="H25" s="23">
        <f>Scenario!$K$5</f>
        <v>5.5555555555555552E-2</v>
      </c>
      <c r="I25" s="23">
        <f>Scenario!$L$5</f>
        <v>5.7142857142857141E-2</v>
      </c>
      <c r="J25" s="23">
        <f>Scenario!$M$5</f>
        <v>0</v>
      </c>
      <c r="K25" s="24">
        <f t="shared" si="5"/>
        <v>0.1388888888888889</v>
      </c>
      <c r="L25" s="24">
        <f t="shared" si="6"/>
        <v>2.7006172839506175E-2</v>
      </c>
      <c r="M25" s="24">
        <f t="shared" si="6"/>
        <v>5.2512002743484226E-3</v>
      </c>
      <c r="N25" s="24">
        <f t="shared" si="6"/>
        <v>1.3503086419753088E-3</v>
      </c>
      <c r="O25" s="24">
        <f t="shared" si="6"/>
        <v>2.3828976034858391E-4</v>
      </c>
      <c r="P25" s="24">
        <f t="shared" si="7"/>
        <v>3.900891632373114E-3</v>
      </c>
      <c r="Q25" s="24">
        <f t="shared" si="7"/>
        <v>1.112018881626725E-3</v>
      </c>
      <c r="R25" s="24">
        <f t="shared" si="8"/>
        <v>2.3828976034858391E-4</v>
      </c>
      <c r="S25" s="25">
        <f>Paytable!$C$11</f>
        <v>0.4</v>
      </c>
      <c r="T25" s="25">
        <f>Paytable!$D$11</f>
        <v>1.2</v>
      </c>
      <c r="U25" s="25">
        <f>Paytable!$E$11</f>
        <v>5</v>
      </c>
      <c r="V25" s="24">
        <f t="shared" si="9"/>
        <v>4.086228112644235E-3</v>
      </c>
      <c r="W25" s="24">
        <f t="shared" si="10"/>
        <v>5.2512002743484226E-3</v>
      </c>
    </row>
    <row r="26" spans="1:23" x14ac:dyDescent="0.35">
      <c r="A26" s="7" t="s">
        <v>64</v>
      </c>
      <c r="B26" s="23">
        <f>Scenario!$I$12</f>
        <v>0.1388888888888889</v>
      </c>
      <c r="C26" s="23">
        <f>Scenario!$J$12</f>
        <v>0.1388888888888889</v>
      </c>
      <c r="D26" s="23">
        <f>Scenario!$K$12</f>
        <v>0.1388888888888889</v>
      </c>
      <c r="E26" s="23">
        <f>Scenario!$L$12</f>
        <v>8.5714285714285715E-2</v>
      </c>
      <c r="F26" s="23">
        <f>Scenario!$M$12</f>
        <v>0.11764705882352941</v>
      </c>
      <c r="G26" s="23">
        <f>Scenario!$J$5</f>
        <v>5.5555555555555552E-2</v>
      </c>
      <c r="H26" s="23">
        <f>Scenario!$K$5</f>
        <v>5.5555555555555552E-2</v>
      </c>
      <c r="I26" s="23">
        <f>Scenario!$L$5</f>
        <v>5.7142857142857141E-2</v>
      </c>
      <c r="J26" s="23">
        <f>Scenario!$M$5</f>
        <v>0</v>
      </c>
      <c r="K26" s="24">
        <f t="shared" si="5"/>
        <v>0.1388888888888889</v>
      </c>
      <c r="L26" s="24">
        <f t="shared" si="6"/>
        <v>2.7006172839506175E-2</v>
      </c>
      <c r="M26" s="24">
        <f t="shared" si="6"/>
        <v>5.2512002743484226E-3</v>
      </c>
      <c r="N26" s="24">
        <f t="shared" si="6"/>
        <v>7.5017146776406034E-4</v>
      </c>
      <c r="O26" s="24">
        <f t="shared" si="6"/>
        <v>8.8255466795771797E-5</v>
      </c>
      <c r="P26" s="24">
        <f t="shared" si="7"/>
        <v>4.5010288065843625E-3</v>
      </c>
      <c r="Q26" s="24">
        <f t="shared" si="7"/>
        <v>6.6191600096828852E-4</v>
      </c>
      <c r="R26" s="24">
        <f t="shared" si="8"/>
        <v>8.8255466795771797E-5</v>
      </c>
      <c r="S26" s="25">
        <f>Paytable!$C$12</f>
        <v>0.3</v>
      </c>
      <c r="T26" s="25">
        <f>Paytable!$D$12</f>
        <v>1</v>
      </c>
      <c r="U26" s="25">
        <f>Paytable!$E$12</f>
        <v>4</v>
      </c>
      <c r="V26" s="24">
        <f t="shared" si="9"/>
        <v>2.3652465101266845E-3</v>
      </c>
      <c r="W26" s="24">
        <f t="shared" si="10"/>
        <v>5.2512002743484226E-3</v>
      </c>
    </row>
    <row r="27" spans="1:23" x14ac:dyDescent="0.35">
      <c r="A27" s="7" t="s">
        <v>65</v>
      </c>
      <c r="B27" s="23">
        <f>Scenario!$I$13</f>
        <v>0.1388888888888889</v>
      </c>
      <c r="C27" s="23">
        <f>Scenario!$J$13</f>
        <v>0.1388888888888889</v>
      </c>
      <c r="D27" s="23">
        <f>Scenario!$K$13</f>
        <v>0.1388888888888889</v>
      </c>
      <c r="E27" s="23">
        <f>Scenario!$L$13</f>
        <v>0.14285714285714285</v>
      </c>
      <c r="F27" s="23">
        <f>Scenario!$M$13</f>
        <v>0.11764705882352941</v>
      </c>
      <c r="G27" s="23">
        <f>Scenario!$J$5</f>
        <v>5.5555555555555552E-2</v>
      </c>
      <c r="H27" s="23">
        <f>Scenario!$K$5</f>
        <v>5.5555555555555552E-2</v>
      </c>
      <c r="I27" s="23">
        <f>Scenario!$L$5</f>
        <v>5.7142857142857141E-2</v>
      </c>
      <c r="J27" s="23">
        <f>Scenario!$M$5</f>
        <v>0</v>
      </c>
      <c r="K27" s="24">
        <f t="shared" si="5"/>
        <v>0.1388888888888889</v>
      </c>
      <c r="L27" s="24">
        <f t="shared" si="6"/>
        <v>2.7006172839506175E-2</v>
      </c>
      <c r="M27" s="24">
        <f t="shared" si="6"/>
        <v>5.2512002743484226E-3</v>
      </c>
      <c r="N27" s="24">
        <f t="shared" si="6"/>
        <v>1.0502400548696843E-3</v>
      </c>
      <c r="O27" s="24">
        <f t="shared" si="6"/>
        <v>1.2355765351408052E-4</v>
      </c>
      <c r="P27" s="24">
        <f t="shared" si="7"/>
        <v>4.2009602194787382E-3</v>
      </c>
      <c r="Q27" s="24">
        <f t="shared" si="7"/>
        <v>9.2668240135560377E-4</v>
      </c>
      <c r="R27" s="24">
        <f t="shared" si="8"/>
        <v>1.2355765351408052E-4</v>
      </c>
      <c r="S27" s="25">
        <f>Paytable!$C$13</f>
        <v>0.3</v>
      </c>
      <c r="T27" s="25">
        <f>Paytable!$D$13</f>
        <v>0.8</v>
      </c>
      <c r="U27" s="25">
        <f>Paytable!$E$13</f>
        <v>3</v>
      </c>
      <c r="V27" s="24">
        <f t="shared" si="9"/>
        <v>2.3723069474703459E-3</v>
      </c>
      <c r="W27" s="24">
        <f t="shared" si="10"/>
        <v>5.2512002743484226E-3</v>
      </c>
    </row>
    <row r="28" spans="1:23" x14ac:dyDescent="0.35">
      <c r="A28" s="7" t="s">
        <v>66</v>
      </c>
      <c r="B28" s="23">
        <f>Scenario!$I$14</f>
        <v>0.1388888888888889</v>
      </c>
      <c r="C28" s="23">
        <f>Scenario!$J$14</f>
        <v>0.1388888888888889</v>
      </c>
      <c r="D28" s="23">
        <f>Scenario!$K$14</f>
        <v>0.1388888888888889</v>
      </c>
      <c r="E28" s="23">
        <f>Scenario!$L$14</f>
        <v>0.11428571428571428</v>
      </c>
      <c r="F28" s="23">
        <f>Scenario!$M$14</f>
        <v>8.8235294117647065E-2</v>
      </c>
      <c r="G28" s="23">
        <f>Scenario!$J$5</f>
        <v>5.5555555555555552E-2</v>
      </c>
      <c r="H28" s="23">
        <f>Scenario!$K$5</f>
        <v>5.5555555555555552E-2</v>
      </c>
      <c r="I28" s="23">
        <f>Scenario!$L$5</f>
        <v>5.7142857142857141E-2</v>
      </c>
      <c r="J28" s="23">
        <f>Scenario!$M$5</f>
        <v>0</v>
      </c>
      <c r="K28" s="24">
        <f t="shared" si="5"/>
        <v>0.1388888888888889</v>
      </c>
      <c r="L28" s="24">
        <f t="shared" si="6"/>
        <v>2.7006172839506175E-2</v>
      </c>
      <c r="M28" s="24">
        <f t="shared" si="6"/>
        <v>5.2512002743484226E-3</v>
      </c>
      <c r="N28" s="24">
        <f t="shared" si="6"/>
        <v>9.0020576131687245E-4</v>
      </c>
      <c r="O28" s="24">
        <f t="shared" si="6"/>
        <v>7.9429920116194636E-5</v>
      </c>
      <c r="P28" s="24">
        <f t="shared" si="7"/>
        <v>4.3509945130315499E-3</v>
      </c>
      <c r="Q28" s="24">
        <f t="shared" si="7"/>
        <v>8.2077584120067784E-4</v>
      </c>
      <c r="R28" s="24">
        <f t="shared" si="8"/>
        <v>7.9429920116194636E-5</v>
      </c>
      <c r="S28" s="25">
        <f>Paytable!$C$14</f>
        <v>0.2</v>
      </c>
      <c r="T28" s="25">
        <f>Paytable!$D$14</f>
        <v>0.6</v>
      </c>
      <c r="U28" s="25">
        <f>Paytable!$E$14</f>
        <v>2.5</v>
      </c>
      <c r="V28" s="24">
        <f t="shared" si="9"/>
        <v>1.5612392076172032E-3</v>
      </c>
      <c r="W28" s="24">
        <f t="shared" si="10"/>
        <v>5.2512002743484226E-3</v>
      </c>
    </row>
    <row r="29" spans="1:23" x14ac:dyDescent="0.35">
      <c r="A29" s="7" t="s">
        <v>120</v>
      </c>
      <c r="V29" s="26">
        <f>SUM(V21:V28)</f>
        <v>2.9352525475210663E-2</v>
      </c>
      <c r="W29" s="26">
        <f>SUM(W21:W28)</f>
        <v>2.9749657064471881E-2</v>
      </c>
    </row>
    <row r="30" spans="1:23" x14ac:dyDescent="0.35">
      <c r="A30" s="2" t="s">
        <v>121</v>
      </c>
      <c r="V30" s="7" t="str">
        <f>IF(Scenario!$I$5=0,"OK","INVALID: wild on reel 1")</f>
        <v>OK</v>
      </c>
    </row>
    <row r="33" spans="1:10" x14ac:dyDescent="0.35">
      <c r="A33" s="7" t="s">
        <v>180</v>
      </c>
    </row>
    <row r="34" spans="1:10" ht="42.5" x14ac:dyDescent="0.35">
      <c r="A34" s="3" t="s">
        <v>127</v>
      </c>
      <c r="B34" s="3" t="s">
        <v>128</v>
      </c>
      <c r="C34" s="3" t="s">
        <v>129</v>
      </c>
      <c r="D34" s="3" t="s">
        <v>130</v>
      </c>
      <c r="E34" s="3" t="s">
        <v>131</v>
      </c>
      <c r="F34" s="3" t="s">
        <v>132</v>
      </c>
      <c r="G34" s="3" t="s">
        <v>133</v>
      </c>
      <c r="H34" s="3" t="s">
        <v>134</v>
      </c>
      <c r="I34" s="3" t="s">
        <v>135</v>
      </c>
      <c r="J34" s="3" t="s">
        <v>136</v>
      </c>
    </row>
    <row r="35" spans="1:10" x14ac:dyDescent="0.35">
      <c r="A35" s="7">
        <v>0</v>
      </c>
      <c r="E35" s="27">
        <v>1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</row>
    <row r="36" spans="1:10" x14ac:dyDescent="0.35">
      <c r="A36" s="7">
        <v>1</v>
      </c>
      <c r="B36" s="12">
        <f>Scenario!$B$6</f>
        <v>1</v>
      </c>
      <c r="C36" s="12">
        <f>Scenario!$B$15</f>
        <v>36</v>
      </c>
      <c r="D36" s="24">
        <f>Paytable!$B$26*B36/C36</f>
        <v>8.3333333333333329E-2</v>
      </c>
      <c r="E36" s="24">
        <f>E35*(1-$D36)</f>
        <v>0.91666666666666663</v>
      </c>
      <c r="F36" s="24">
        <f t="shared" ref="F36:J40" si="11">F35*(1-$D36)+E35*$D36</f>
        <v>8.3333333333333329E-2</v>
      </c>
      <c r="G36" s="24">
        <f t="shared" si="11"/>
        <v>0</v>
      </c>
      <c r="H36" s="24">
        <f t="shared" si="11"/>
        <v>0</v>
      </c>
      <c r="I36" s="24">
        <f t="shared" si="11"/>
        <v>0</v>
      </c>
      <c r="J36" s="24">
        <f t="shared" si="11"/>
        <v>0</v>
      </c>
    </row>
    <row r="37" spans="1:10" x14ac:dyDescent="0.35">
      <c r="A37" s="7">
        <v>2</v>
      </c>
      <c r="B37" s="12">
        <f>Scenario!$C$6</f>
        <v>1</v>
      </c>
      <c r="C37" s="12">
        <f>Scenario!$C$15</f>
        <v>36</v>
      </c>
      <c r="D37" s="24">
        <f>Paytable!$B$26*B37/C37</f>
        <v>8.3333333333333329E-2</v>
      </c>
      <c r="E37" s="24">
        <f>E36*(1-$D37)</f>
        <v>0.84027777777777768</v>
      </c>
      <c r="F37" s="24">
        <f t="shared" si="11"/>
        <v>0.15277777777777776</v>
      </c>
      <c r="G37" s="24">
        <f t="shared" si="11"/>
        <v>6.9444444444444441E-3</v>
      </c>
      <c r="H37" s="24">
        <f t="shared" si="11"/>
        <v>0</v>
      </c>
      <c r="I37" s="24">
        <f t="shared" si="11"/>
        <v>0</v>
      </c>
      <c r="J37" s="24">
        <f t="shared" si="11"/>
        <v>0</v>
      </c>
    </row>
    <row r="38" spans="1:10" x14ac:dyDescent="0.35">
      <c r="A38" s="7">
        <v>3</v>
      </c>
      <c r="B38" s="12">
        <f>Scenario!$D$6</f>
        <v>1</v>
      </c>
      <c r="C38" s="12">
        <f>Scenario!$D$15</f>
        <v>36</v>
      </c>
      <c r="D38" s="24">
        <f>Paytable!$B$26*B38/C38</f>
        <v>8.3333333333333329E-2</v>
      </c>
      <c r="E38" s="24">
        <f>E37*(1-$D38)</f>
        <v>0.77025462962962954</v>
      </c>
      <c r="F38" s="24">
        <f t="shared" si="11"/>
        <v>0.21006944444444442</v>
      </c>
      <c r="G38" s="24">
        <f t="shared" si="11"/>
        <v>1.909722222222222E-2</v>
      </c>
      <c r="H38" s="24">
        <f t="shared" si="11"/>
        <v>5.7870370370370367E-4</v>
      </c>
      <c r="I38" s="24">
        <f t="shared" si="11"/>
        <v>0</v>
      </c>
      <c r="J38" s="24">
        <f t="shared" si="11"/>
        <v>0</v>
      </c>
    </row>
    <row r="39" spans="1:10" x14ac:dyDescent="0.35">
      <c r="A39" s="7">
        <v>4</v>
      </c>
      <c r="B39" s="12">
        <f>Scenario!$E$6</f>
        <v>1</v>
      </c>
      <c r="C39" s="12">
        <f>Scenario!$E$15</f>
        <v>35</v>
      </c>
      <c r="D39" s="24">
        <f>Paytable!$B$26*B39/C39</f>
        <v>8.5714285714285715E-2</v>
      </c>
      <c r="E39" s="24">
        <f>E38*(1-$D39)</f>
        <v>0.7042328042328041</v>
      </c>
      <c r="F39" s="24">
        <f t="shared" si="11"/>
        <v>0.25808531746031743</v>
      </c>
      <c r="G39" s="24">
        <f t="shared" si="11"/>
        <v>3.546626984126984E-2</v>
      </c>
      <c r="H39" s="24">
        <f t="shared" si="11"/>
        <v>2.1660052910052905E-3</v>
      </c>
      <c r="I39" s="24">
        <f t="shared" si="11"/>
        <v>4.9603174603174603E-5</v>
      </c>
      <c r="J39" s="24">
        <f t="shared" si="11"/>
        <v>0</v>
      </c>
    </row>
    <row r="40" spans="1:10" x14ac:dyDescent="0.35">
      <c r="A40" s="7">
        <v>5</v>
      </c>
      <c r="B40" s="12">
        <f>Scenario!$F$6</f>
        <v>1</v>
      </c>
      <c r="C40" s="12">
        <f>Scenario!$F$15</f>
        <v>34</v>
      </c>
      <c r="D40" s="24">
        <f>Paytable!$B$26*B40/C40</f>
        <v>8.8235294117647065E-2</v>
      </c>
      <c r="E40" s="24">
        <f>E39*(1-$D40)</f>
        <v>0.64209461562402725</v>
      </c>
      <c r="F40" s="24">
        <f t="shared" si="11"/>
        <v>0.29745127217553685</v>
      </c>
      <c r="G40" s="24">
        <f t="shared" si="11"/>
        <v>5.5109126984126983E-2</v>
      </c>
      <c r="H40" s="24">
        <f t="shared" si="11"/>
        <v>5.1042639277933391E-3</v>
      </c>
      <c r="I40" s="24">
        <f t="shared" si="11"/>
        <v>2.3634453781512602E-4</v>
      </c>
      <c r="J40" s="24">
        <f t="shared" si="11"/>
        <v>4.3767507002801126E-6</v>
      </c>
    </row>
    <row r="41" spans="1:10" x14ac:dyDescent="0.35">
      <c r="A41" s="7" t="s">
        <v>93</v>
      </c>
      <c r="E41" s="24">
        <f>SUM(E40:J40)</f>
        <v>0.99999999999999989</v>
      </c>
    </row>
    <row r="43" spans="1:10" x14ac:dyDescent="0.35">
      <c r="A43" s="3" t="s">
        <v>181</v>
      </c>
      <c r="B43" s="3" t="s">
        <v>182</v>
      </c>
      <c r="C43" s="3" t="s">
        <v>183</v>
      </c>
      <c r="D43" s="3" t="s">
        <v>184</v>
      </c>
    </row>
    <row r="44" spans="1:10" x14ac:dyDescent="0.35">
      <c r="A44" s="2" t="s">
        <v>185</v>
      </c>
      <c r="B44" s="30">
        <f>Paytable!$B$27*Scenario!$V$29</f>
        <v>0.58705050950421322</v>
      </c>
      <c r="C44" s="4">
        <f>Dashboard!$B$5</f>
        <v>0.58705050950421322</v>
      </c>
      <c r="D44" s="30">
        <f t="shared" ref="D44:D49" si="12">B44-C44</f>
        <v>0</v>
      </c>
    </row>
    <row r="45" spans="1:10" x14ac:dyDescent="0.35">
      <c r="A45" s="2" t="s">
        <v>21</v>
      </c>
      <c r="B45" s="30">
        <f>Scenario!$H$40*Paytable!$B$19+Scenario!$I$40*Paytable!$B$20+Scenario!$J$40*Paytable!$B$21</f>
        <v>1.2790810768751944E-2</v>
      </c>
      <c r="C45" s="4">
        <f>Dashboard!$B$6</f>
        <v>1.2790810768751944E-2</v>
      </c>
      <c r="D45" s="30">
        <f t="shared" si="12"/>
        <v>0</v>
      </c>
    </row>
    <row r="46" spans="1:10" x14ac:dyDescent="0.35">
      <c r="A46" s="2" t="s">
        <v>186</v>
      </c>
      <c r="B46" s="30">
        <f>Scenario!$H$40*FreeSpins!$C$57+Scenario!$I$40*FreeSpins!$C$58+Scenario!$J$40*FreeSpins!$C$59</f>
        <v>0.36218115855311306</v>
      </c>
      <c r="C46" s="4">
        <f>Dashboard!$B$7</f>
        <v>0.36218115855311306</v>
      </c>
      <c r="D46" s="30">
        <f t="shared" si="12"/>
        <v>0</v>
      </c>
    </row>
    <row r="47" spans="1:10" x14ac:dyDescent="0.35">
      <c r="A47" s="7" t="s">
        <v>187</v>
      </c>
      <c r="B47" s="32">
        <f>SUM(B44:B46)</f>
        <v>0.96202247882607828</v>
      </c>
      <c r="C47" s="4">
        <f>Dashboard!$B$8</f>
        <v>0.96202247882607828</v>
      </c>
      <c r="D47" s="30">
        <f t="shared" si="12"/>
        <v>0</v>
      </c>
    </row>
    <row r="48" spans="1:10" x14ac:dyDescent="0.35">
      <c r="A48" s="2" t="s">
        <v>188</v>
      </c>
      <c r="B48" s="10">
        <f>1/(Scenario!$H$40+Scenario!$I$40+Scenario!$J$40)</f>
        <v>187.09125648257668</v>
      </c>
      <c r="C48" s="25">
        <f>Dashboard!$B$15</f>
        <v>187.09125648257668</v>
      </c>
      <c r="D48" s="10">
        <f t="shared" si="12"/>
        <v>0</v>
      </c>
    </row>
    <row r="49" spans="1:4" x14ac:dyDescent="0.35">
      <c r="A49" s="2" t="s">
        <v>27</v>
      </c>
      <c r="B49" s="30">
        <f>Scenario!$W$29</f>
        <v>2.9749657064471881E-2</v>
      </c>
      <c r="C49" s="4">
        <f>Dashboard!$B$13</f>
        <v>2.9749657064471881E-2</v>
      </c>
      <c r="D49" s="30">
        <f t="shared" si="12"/>
        <v>0</v>
      </c>
    </row>
    <row r="51" spans="1:4" x14ac:dyDescent="0.35">
      <c r="A51" s="2" t="s">
        <v>189</v>
      </c>
      <c r="B51" s="7" t="str">
        <f>Scenario!$V$30</f>
        <v>OK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zoomScaleNormal="100" workbookViewId="0"/>
  </sheetViews>
  <sheetFormatPr defaultColWidth="8.6328125" defaultRowHeight="14.5" x14ac:dyDescent="0.35"/>
  <cols>
    <col min="1" max="1" width="12" customWidth="1"/>
    <col min="2" max="2" width="22" customWidth="1"/>
    <col min="3" max="3" width="20" customWidth="1"/>
    <col min="4" max="4" width="30" customWidth="1"/>
    <col min="5" max="6" width="20" customWidth="1"/>
  </cols>
  <sheetData>
    <row r="1" spans="1:6" ht="18" x14ac:dyDescent="0.4">
      <c r="A1" s="1" t="s">
        <v>190</v>
      </c>
    </row>
    <row r="2" spans="1:6" x14ac:dyDescent="0.35">
      <c r="A2" s="2" t="s">
        <v>191</v>
      </c>
    </row>
    <row r="4" spans="1:6" x14ac:dyDescent="0.35">
      <c r="A4" s="7" t="s">
        <v>192</v>
      </c>
      <c r="B4" s="41"/>
    </row>
    <row r="6" spans="1:6" ht="28.5" x14ac:dyDescent="0.35">
      <c r="A6" s="3" t="s">
        <v>193</v>
      </c>
      <c r="B6" s="3" t="s">
        <v>194</v>
      </c>
      <c r="C6" s="3" t="s">
        <v>195</v>
      </c>
      <c r="D6" s="3" t="s">
        <v>196</v>
      </c>
      <c r="E6" s="3" t="s">
        <v>197</v>
      </c>
      <c r="F6" s="3" t="s">
        <v>198</v>
      </c>
    </row>
    <row r="7" spans="1:6" x14ac:dyDescent="0.35">
      <c r="A7" s="37">
        <v>0.1</v>
      </c>
      <c r="B7" s="22">
        <f>A7/Paytable!$B$27</f>
        <v>5.0000000000000001E-3</v>
      </c>
      <c r="C7" s="42">
        <f>A7*Paytable!$B$28</f>
        <v>150</v>
      </c>
      <c r="D7" s="22">
        <f>A7*Dashboard!$B$8</f>
        <v>9.6202247882607839E-2</v>
      </c>
      <c r="E7" s="22">
        <f t="shared" ref="E7:E16" si="0">A7-D7</f>
        <v>3.7977521173921669E-3</v>
      </c>
      <c r="F7" s="2" t="str">
        <f t="shared" ref="F7:F16" si="1">IF($B$4="","",IF(A7&gt;$B$4,"ABOVE MAX STAKE","ok"))</f>
        <v/>
      </c>
    </row>
    <row r="8" spans="1:6" x14ac:dyDescent="0.35">
      <c r="A8" s="37">
        <v>0.2</v>
      </c>
      <c r="B8" s="22">
        <f>A8/Paytable!$B$27</f>
        <v>0.01</v>
      </c>
      <c r="C8" s="42">
        <f>A8*Paytable!$B$28</f>
        <v>300</v>
      </c>
      <c r="D8" s="22">
        <f>A8*Dashboard!$B$8</f>
        <v>0.19240449576521568</v>
      </c>
      <c r="E8" s="22">
        <f t="shared" si="0"/>
        <v>7.5955042347843338E-3</v>
      </c>
      <c r="F8" s="2" t="str">
        <f t="shared" si="1"/>
        <v/>
      </c>
    </row>
    <row r="9" spans="1:6" x14ac:dyDescent="0.35">
      <c r="A9" s="37">
        <v>0.5</v>
      </c>
      <c r="B9" s="22">
        <f>A9/Paytable!$B$27</f>
        <v>2.5000000000000001E-2</v>
      </c>
      <c r="C9" s="42">
        <f>A9*Paytable!$B$28</f>
        <v>750</v>
      </c>
      <c r="D9" s="22">
        <f>A9*Dashboard!$B$8</f>
        <v>0.48101123941303914</v>
      </c>
      <c r="E9" s="22">
        <f t="shared" si="0"/>
        <v>1.8988760586960862E-2</v>
      </c>
      <c r="F9" s="2" t="str">
        <f t="shared" si="1"/>
        <v/>
      </c>
    </row>
    <row r="10" spans="1:6" x14ac:dyDescent="0.35">
      <c r="A10" s="37">
        <v>1</v>
      </c>
      <c r="B10" s="22">
        <f>A10/Paytable!$B$27</f>
        <v>0.05</v>
      </c>
      <c r="C10" s="42">
        <f>A10*Paytable!$B$28</f>
        <v>1500</v>
      </c>
      <c r="D10" s="22">
        <f>A10*Dashboard!$B$8</f>
        <v>0.96202247882607828</v>
      </c>
      <c r="E10" s="22">
        <f t="shared" si="0"/>
        <v>3.7977521173921724E-2</v>
      </c>
      <c r="F10" s="2" t="str">
        <f t="shared" si="1"/>
        <v/>
      </c>
    </row>
    <row r="11" spans="1:6" x14ac:dyDescent="0.35">
      <c r="A11" s="37">
        <v>2</v>
      </c>
      <c r="B11" s="22">
        <f>A11/Paytable!$B$27</f>
        <v>0.1</v>
      </c>
      <c r="C11" s="42">
        <f>A11*Paytable!$B$28</f>
        <v>3000</v>
      </c>
      <c r="D11" s="22">
        <f>A11*Dashboard!$B$8</f>
        <v>1.9240449576521566</v>
      </c>
      <c r="E11" s="22">
        <f t="shared" si="0"/>
        <v>7.5955042347843449E-2</v>
      </c>
      <c r="F11" s="2" t="str">
        <f t="shared" si="1"/>
        <v/>
      </c>
    </row>
    <row r="12" spans="1:6" x14ac:dyDescent="0.35">
      <c r="A12" s="37">
        <v>5</v>
      </c>
      <c r="B12" s="22">
        <f>A12/Paytable!$B$27</f>
        <v>0.25</v>
      </c>
      <c r="C12" s="42">
        <f>A12*Paytable!$B$28</f>
        <v>7500</v>
      </c>
      <c r="D12" s="22">
        <f>A12*Dashboard!$B$8</f>
        <v>4.8101123941303916</v>
      </c>
      <c r="E12" s="22">
        <f t="shared" si="0"/>
        <v>0.1898876058696084</v>
      </c>
      <c r="F12" s="2" t="str">
        <f t="shared" si="1"/>
        <v/>
      </c>
    </row>
    <row r="13" spans="1:6" x14ac:dyDescent="0.35">
      <c r="A13" s="37">
        <v>10</v>
      </c>
      <c r="B13" s="22">
        <f>A13/Paytable!$B$27</f>
        <v>0.5</v>
      </c>
      <c r="C13" s="42">
        <f>A13*Paytable!$B$28</f>
        <v>15000</v>
      </c>
      <c r="D13" s="22">
        <f>A13*Dashboard!$B$8</f>
        <v>9.6202247882607832</v>
      </c>
      <c r="E13" s="22">
        <f t="shared" si="0"/>
        <v>0.3797752117392168</v>
      </c>
      <c r="F13" s="2" t="str">
        <f t="shared" si="1"/>
        <v/>
      </c>
    </row>
    <row r="14" spans="1:6" x14ac:dyDescent="0.35">
      <c r="A14" s="37">
        <v>20</v>
      </c>
      <c r="B14" s="22">
        <f>A14/Paytable!$B$27</f>
        <v>1</v>
      </c>
      <c r="C14" s="42">
        <f>A14*Paytable!$B$28</f>
        <v>30000</v>
      </c>
      <c r="D14" s="22">
        <f>A14*Dashboard!$B$8</f>
        <v>19.240449576521566</v>
      </c>
      <c r="E14" s="22">
        <f t="shared" si="0"/>
        <v>0.7595504234784336</v>
      </c>
      <c r="F14" s="2" t="str">
        <f t="shared" si="1"/>
        <v/>
      </c>
    </row>
    <row r="15" spans="1:6" x14ac:dyDescent="0.35">
      <c r="A15" s="37">
        <v>50</v>
      </c>
      <c r="B15" s="22">
        <f>A15/Paytable!$B$27</f>
        <v>2.5</v>
      </c>
      <c r="C15" s="42">
        <f>A15*Paytable!$B$28</f>
        <v>75000</v>
      </c>
      <c r="D15" s="22">
        <f>A15*Dashboard!$B$8</f>
        <v>48.101123941303911</v>
      </c>
      <c r="E15" s="22">
        <f t="shared" si="0"/>
        <v>1.8988760586960893</v>
      </c>
      <c r="F15" s="2" t="str">
        <f t="shared" si="1"/>
        <v/>
      </c>
    </row>
    <row r="16" spans="1:6" x14ac:dyDescent="0.35">
      <c r="A16" s="37">
        <v>100</v>
      </c>
      <c r="B16" s="22">
        <f>A16/Paytable!$B$27</f>
        <v>5</v>
      </c>
      <c r="C16" s="42">
        <f>A16*Paytable!$B$28</f>
        <v>150000</v>
      </c>
      <c r="D16" s="22">
        <f>A16*Dashboard!$B$8</f>
        <v>96.202247882607821</v>
      </c>
      <c r="E16" s="22">
        <f t="shared" si="0"/>
        <v>3.7977521173921787</v>
      </c>
      <c r="F16" s="2" t="str">
        <f t="shared" si="1"/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Dashboard</vt:lpstr>
      <vt:lpstr>Paytable</vt:lpstr>
      <vt:lpstr>Reels_Base</vt:lpstr>
      <vt:lpstr>Reels_FS</vt:lpstr>
      <vt:lpstr>Lines_Base</vt:lpstr>
      <vt:lpstr>Lines_FS</vt:lpstr>
      <vt:lpstr>Scatters</vt:lpstr>
      <vt:lpstr>FreeSpins</vt:lpstr>
      <vt:lpstr>Scenario</vt:lpstr>
      <vt:lpstr>Bets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Boris Petkovic</cp:lastModifiedBy>
  <cp:revision>0</cp:revision>
  <dcterms:created xsi:type="dcterms:W3CDTF">2026-10-29T08:34:01Z</dcterms:created>
  <dcterms:modified xsi:type="dcterms:W3CDTF">2026-10-29T09:50:23Z</dcterms:modified>
  <dc:language>en-US</dc:language>
</cp:coreProperties>
</file>